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A58928CD-AC3B-4B7C-9468-3F03AAE0932A}" xr6:coauthVersionLast="47" xr6:coauthVersionMax="47" xr10:uidLastSave="{00000000-0000-0000-0000-000000000000}"/>
  <bookViews>
    <workbookView xWindow="-120" yWindow="-120" windowWidth="20730" windowHeight="11160" firstSheet="1" activeTab="3" xr2:uid="{910DA9BC-9586-4649-942B-DCDFF6A57D73}"/>
  </bookViews>
  <sheets>
    <sheet name="Лист2" sheetId="2" state="hidden" r:id="rId1"/>
    <sheet name="Инструкция" sheetId="8" r:id="rId2"/>
    <sheet name="Пример заполнения " sheetId="7" r:id="rId3"/>
    <sheet name="Отчет к заполнению" sheetId="6" r:id="rId4"/>
  </sheets>
  <definedNames>
    <definedName name="_xlnm.Print_Area" localSheetId="3">'Отчет к заполнению'!$A$4:$P$54</definedName>
    <definedName name="_xlnm.Print_Area" localSheetId="2">'Пример заполнения '!$A$4:$P$54</definedName>
  </definedNames>
  <calcPr calcId="181029" refMode="R1C1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49" i="7" l="1"/>
  <c r="P46" i="7"/>
  <c r="F52" i="7" s="1"/>
  <c r="M29" i="7"/>
  <c r="K29" i="7"/>
  <c r="P12" i="7"/>
  <c r="L12" i="7"/>
  <c r="J12" i="7"/>
  <c r="K49" i="6"/>
  <c r="P46" i="6"/>
  <c r="F52" i="6" s="1"/>
  <c r="M29" i="6"/>
  <c r="K29" i="6"/>
  <c r="P12" i="6"/>
  <c r="L12" i="6"/>
  <c r="J12" i="6"/>
  <c r="S4" i="7" a="1"/>
  <c r="S4" i="6" l="1" a="1"/>
  <c r="S4" i="6" s="1"/>
  <c r="M31" i="7"/>
  <c r="K30" i="7"/>
  <c r="S4" i="7"/>
  <c r="S5" i="7" s="1"/>
  <c r="I6" i="7" s="1"/>
  <c r="M30" i="7"/>
  <c r="K30" i="6"/>
  <c r="M30" i="6"/>
  <c r="M31" i="6" s="1"/>
  <c r="S5" i="6" l="1"/>
  <c r="I6" i="6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<sst xmlns="http://schemas.openxmlformats.org/spreadsheetml/2006/main" count="127" uniqueCount="73">
  <si>
    <t>ООО "Сэйлз Модерн групп"</t>
  </si>
  <si>
    <t>УТВЕРЖДАЮ</t>
  </si>
  <si>
    <t>Отчет в сумме:</t>
  </si>
  <si>
    <t>(должность)</t>
  </si>
  <si>
    <t>(подпись)</t>
  </si>
  <si>
    <t>(фамилия, инициалы)</t>
  </si>
  <si>
    <t>"</t>
  </si>
  <si>
    <t>Отчет об израсходованных суммах</t>
  </si>
  <si>
    <t>от</t>
  </si>
  <si>
    <t>октября</t>
  </si>
  <si>
    <t>Подотчетное лицо</t>
  </si>
  <si>
    <t>Иванов Иван Иванович</t>
  </si>
  <si>
    <t>Должность служащего (профессия рабочего)</t>
  </si>
  <si>
    <t>Назначение аванса</t>
  </si>
  <si>
    <t>Наименование показателя</t>
  </si>
  <si>
    <t>Сумма, руб. коп</t>
  </si>
  <si>
    <t xml:space="preserve"> Получено (дата) :</t>
  </si>
  <si>
    <t>-----</t>
  </si>
  <si>
    <t xml:space="preserve"> Итого получено</t>
  </si>
  <si>
    <t xml:space="preserve"> Израсходовано</t>
  </si>
  <si>
    <t>Документ, подтверждающий приобретение товаров (работ, услуг)</t>
  </si>
  <si>
    <t>Дата</t>
  </si>
  <si>
    <t>Номер</t>
  </si>
  <si>
    <t>Чек</t>
  </si>
  <si>
    <t>Итого</t>
  </si>
  <si>
    <t>(расшифровка подписи)</t>
  </si>
  <si>
    <t>Отчет проверен. К утверждению в сумме:</t>
  </si>
  <si>
    <t>Бухгалтер</t>
  </si>
  <si>
    <t>Кому, за что уплачено. Иная информация (при необходимости)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</si>
  <si>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</si>
  <si>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</si>
  <si>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</si>
  <si>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</si>
  <si>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</si>
  <si>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</si>
  <si>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</si>
  <si>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</si>
  <si>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</si>
  <si>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ноября</t>
  </si>
  <si>
    <t>декабря</t>
  </si>
  <si>
    <t>Наименование документа</t>
  </si>
  <si>
    <t>31.12.2025</t>
  </si>
  <si>
    <t>1546897</t>
  </si>
  <si>
    <t xml:space="preserve"> Остаток денежных средств (к возврату) / - Перерасход (к возмещению)</t>
  </si>
  <si>
    <t>Командировочные расходы</t>
  </si>
  <si>
    <t>Расходы на хозяйственные нужды</t>
  </si>
  <si>
    <t>руб.коп</t>
  </si>
  <si>
    <r>
      <t xml:space="preserve">"Дата" -  </t>
    </r>
    <r>
      <rPr>
        <b/>
        <i/>
        <sz val="14"/>
        <color theme="5" tint="-0.249977111117893"/>
        <rFont val="Times New Roman"/>
        <family val="1"/>
        <charset val="204"/>
      </rPr>
      <t>нажать на ячейку и выбрать из списка, находящегося рядом</t>
    </r>
  </si>
  <si>
    <r>
      <t xml:space="preserve">"Назначение аванса" -  </t>
    </r>
    <r>
      <rPr>
        <b/>
        <i/>
        <sz val="14"/>
        <color theme="5" tint="-0.249977111117893"/>
        <rFont val="Times New Roman"/>
        <family val="1"/>
        <charset val="204"/>
      </rPr>
      <t>нажать на ячейку и выбрать из списка, находящегося рядом</t>
    </r>
  </si>
  <si>
    <t>Заполнять ТОЛЬКО цветные ячейки!!!!!</t>
  </si>
  <si>
    <t xml:space="preserve">водитель </t>
  </si>
  <si>
    <t>Белоруснефть, АИ-95, АЗС №1111</t>
  </si>
  <si>
    <t>Руководитель отдела</t>
  </si>
  <si>
    <t>Петров П.С.</t>
  </si>
  <si>
    <t>Необходимо заполнять только окрашенные ячейки.</t>
  </si>
  <si>
    <t>"Дата"  ВЫБИРАЕТСЯ -  нажав на ячейку из списка, находящегося рядом</t>
  </si>
  <si>
    <t>"Назначение аванса" ВЫБИРАЕТСЯ" -  нажав на ячейку  из списка, находящегося рядом</t>
  </si>
  <si>
    <t>"Получено" - необходимо указать Дату получения и сумму аванса именно под этот Отчет, если он выдавался</t>
  </si>
  <si>
    <t>Работать можно только в этом файле или полностью копировать весь файл! Нельзя скопировать отдельный лист в другой файл!!!!</t>
  </si>
  <si>
    <t>Директор</t>
  </si>
  <si>
    <t>Н.В. Сашко</t>
  </si>
  <si>
    <t>22.10.2026</t>
  </si>
  <si>
    <t>22.10.2026-23.10.2026</t>
  </si>
  <si>
    <t>суточные, 22.10.2026 - 23.10.2026, г. Минск 2 сут.</t>
  </si>
  <si>
    <t>23.10.2026</t>
  </si>
  <si>
    <t>администратор отдела собственной розничной сети в г.Витебск</t>
  </si>
  <si>
    <t>Проездной билет</t>
  </si>
  <si>
    <t>Платежный документ</t>
  </si>
  <si>
    <t>14935</t>
  </si>
  <si>
    <t>Кухаренко Юлия Владимировна</t>
  </si>
  <si>
    <t>проезд ЖД,Витебск-Минск</t>
  </si>
  <si>
    <t>Проезд,Минск-Витебск,ООО"Юнибусбел"</t>
  </si>
  <si>
    <t>ЖЕ2110185790394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</si>
</sst>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"/>
    <numFmt numFmtId="165" formatCode="0;\-0;;\ @"/>
    <numFmt numFmtId="166" formatCode="0.00;\-0.00;;\ @"/>
  </numFmts>
  <fonts count="15">
    <font>
      <sz val="11"/>
      <color theme="1"/>
      <name val="Aptos Narrow"/>
      <family val="2"/>
      <charset val="204"/>
      <scheme val="minor"/>
    </font>
    <font>
      <b/>
      <sz val="14"/>
      <name val="Times New Roman"/>
      <family val="1"/>
      <charset val="204"/>
    </font>
    <font>
      <sz val="10"/>
      <name val="Times New Roman"/>
      <family val="1"/>
      <charset val="204"/>
    </font>
    <font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sz val="16"/>
      <name val="Times New Roman"/>
      <family val="1"/>
      <charset val="204"/>
    </font>
    <font>
      <sz val="12"/>
      <name val="Arial Cyr"/>
      <charset val="204"/>
    </font>
    <font>
      <b/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1"/>
      <color theme="0"/>
      <name val="Aptos Narrow"/>
      <family val="2"/>
      <charset val="204"/>
      <scheme val="minor"/>
    </font>
    <font>
      <b/>
      <sz val="18"/>
      <color rgb="FFFF0000"/>
      <name val="Aptos Narrow"/>
      <family val="2"/>
      <scheme val="minor"/>
    </font>
    <font>
      <b/>
      <sz val="18"/>
      <color theme="5" tint="-0.249977111117893"/>
      <name val="Times New Roman"/>
      <family val="1"/>
      <charset val="204"/>
    </font>
    <font>
      <b/>
      <i/>
      <sz val="14"/>
      <color theme="5" tint="-0.249977111117893"/>
      <name val="Times New Roman"/>
      <family val="1"/>
      <charset val="204"/>
    </font>
    <font>
      <b/>
      <u/>
      <sz val="18"/>
      <color rgb="FFFF0000"/>
      <name val="Aptos Narrow"/>
      <family val="2"/>
      <scheme val="minor"/>
    </font>
    <font>
      <sz val="8"/>
      <name val="Aptos Narrow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0" xfId="0" applyFont="1" applyFill="1"/>
    <xf numFmtId="0" fontId="2" fillId="0" borderId="0" xfId="0" applyFont="1" applyAlignment="1">
      <alignment horizontal="center" vertical="top"/>
    </xf>
    <xf numFmtId="0" fontId="2" fillId="0" borderId="1" xfId="0" applyFont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0" fillId="0" borderId="0" xfId="0" applyProtection="1">
      <protection locked="0"/>
    </xf>
    <xf numFmtId="0" fontId="6" fillId="0" borderId="0" xfId="0" applyFont="1"/>
    <xf numFmtId="0" fontId="4" fillId="2" borderId="0" xfId="0" applyFont="1" applyFill="1" applyAlignment="1">
      <alignment horizontal="left"/>
    </xf>
    <xf numFmtId="4" fontId="4" fillId="3" borderId="19" xfId="0" applyNumberFormat="1" applyFont="1" applyFill="1" applyBorder="1" applyAlignment="1" applyProtection="1">
      <alignment horizontal="center" wrapText="1"/>
      <protection locked="0"/>
    </xf>
    <xf numFmtId="49" fontId="7" fillId="2" borderId="0" xfId="0" applyNumberFormat="1" applyFont="1" applyFill="1" applyAlignment="1">
      <alignment horizontal="center" wrapText="1"/>
    </xf>
    <xf numFmtId="49" fontId="4" fillId="2" borderId="0" xfId="0" applyNumberFormat="1" applyFont="1" applyFill="1" applyAlignment="1">
      <alignment horizontal="center" wrapText="1"/>
    </xf>
    <xf numFmtId="0" fontId="4" fillId="2" borderId="0" xfId="0" applyFont="1" applyFill="1" applyAlignment="1">
      <alignment horizontal="left" wrapText="1"/>
    </xf>
    <xf numFmtId="2" fontId="7" fillId="2" borderId="0" xfId="0" applyNumberFormat="1" applyFont="1" applyFill="1" applyAlignment="1">
      <alignment horizontal="center" wrapText="1"/>
    </xf>
    <xf numFmtId="0" fontId="4" fillId="2" borderId="0" xfId="0" applyFont="1" applyFill="1" applyAlignment="1">
      <alignment horizontal="center"/>
    </xf>
    <xf numFmtId="0" fontId="4" fillId="0" borderId="0" xfId="0" applyFont="1"/>
    <xf numFmtId="0" fontId="2" fillId="2" borderId="0" xfId="0" applyFont="1" applyFill="1" applyAlignment="1">
      <alignment vertical="top"/>
    </xf>
    <xf numFmtId="0" fontId="4" fillId="2" borderId="0" xfId="0" applyFont="1" applyFill="1" applyAlignment="1">
      <alignment horizontal="center" vertical="top"/>
    </xf>
    <xf numFmtId="0" fontId="2" fillId="2" borderId="0" xfId="0" applyFont="1" applyFill="1"/>
    <xf numFmtId="0" fontId="9" fillId="0" borderId="0" xfId="0" applyFont="1"/>
    <xf numFmtId="0" fontId="10" fillId="0" borderId="0" xfId="0" applyFont="1" applyAlignment="1">
      <alignment vertical="center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vertical="center" wrapText="1" shrinkToFit="1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66" fontId="7" fillId="2" borderId="24" xfId="0" applyNumberFormat="1" applyFont="1" applyFill="1" applyBorder="1" applyAlignment="1">
      <alignment horizontal="center" wrapText="1"/>
    </xf>
    <xf numFmtId="166" fontId="4" fillId="2" borderId="0" xfId="0" applyNumberFormat="1" applyFont="1" applyFill="1" applyAlignment="1">
      <alignment vertical="center" wrapText="1" shrinkToFit="1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/>
    </xf>
    <xf numFmtId="0" fontId="4" fillId="2" borderId="0" xfId="0" applyFont="1" applyFill="1" applyAlignment="1">
      <alignment horizontal="center" vertical="center" wrapText="1" shrinkToFit="1"/>
    </xf>
    <xf numFmtId="0" fontId="4" fillId="2" borderId="0" xfId="0" applyFont="1" applyFill="1" applyAlignment="1">
      <alignment horizontal="left" vertical="center" wrapText="1" shrinkToFit="1"/>
    </xf>
    <xf numFmtId="0" fontId="4" fillId="2" borderId="0" xfId="0" applyFont="1" applyFill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49" fontId="7" fillId="2" borderId="20" xfId="0" applyNumberFormat="1" applyFont="1" applyFill="1" applyBorder="1" applyAlignment="1">
      <alignment horizontal="center" wrapText="1"/>
    </xf>
    <xf numFmtId="49" fontId="7" fillId="2" borderId="21" xfId="0" applyNumberFormat="1" applyFont="1" applyFill="1" applyBorder="1" applyAlignment="1">
      <alignment horizontal="center" wrapText="1"/>
    </xf>
    <xf numFmtId="49" fontId="4" fillId="2" borderId="22" xfId="0" applyNumberFormat="1" applyFont="1" applyFill="1" applyBorder="1" applyAlignment="1">
      <alignment horizontal="center" wrapText="1"/>
    </xf>
    <xf numFmtId="49" fontId="4" fillId="2" borderId="21" xfId="0" applyNumberFormat="1" applyFont="1" applyFill="1" applyBorder="1" applyAlignment="1">
      <alignment horizontal="center" wrapText="1"/>
    </xf>
    <xf numFmtId="49" fontId="4" fillId="2" borderId="23" xfId="0" applyNumberFormat="1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23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0" borderId="5" xfId="0" applyFont="1" applyBorder="1" applyAlignment="1" applyProtection="1">
      <alignment horizontal="center"/>
      <protection locked="0"/>
    </xf>
    <xf numFmtId="165" fontId="4" fillId="0" borderId="5" xfId="0" applyNumberFormat="1" applyFont="1" applyBorder="1" applyAlignment="1">
      <alignment horizontal="center"/>
    </xf>
    <xf numFmtId="49" fontId="4" fillId="3" borderId="17" xfId="0" applyNumberFormat="1" applyFont="1" applyFill="1" applyBorder="1" applyAlignment="1" applyProtection="1">
      <alignment horizontal="left" wrapText="1"/>
      <protection locked="0"/>
    </xf>
    <xf numFmtId="49" fontId="4" fillId="3" borderId="9" xfId="0" applyNumberFormat="1" applyFont="1" applyFill="1" applyBorder="1" applyAlignment="1" applyProtection="1">
      <alignment horizontal="left" wrapText="1"/>
      <protection locked="0"/>
    </xf>
    <xf numFmtId="49" fontId="4" fillId="3" borderId="7" xfId="0" applyNumberFormat="1" applyFont="1" applyFill="1" applyBorder="1" applyAlignment="1" applyProtection="1">
      <alignment horizontal="center" wrapText="1"/>
      <protection locked="0"/>
    </xf>
    <xf numFmtId="49" fontId="4" fillId="3" borderId="9" xfId="0" applyNumberFormat="1" applyFont="1" applyFill="1" applyBorder="1" applyAlignment="1" applyProtection="1">
      <alignment horizontal="center" wrapText="1"/>
      <protection locked="0"/>
    </xf>
    <xf numFmtId="49" fontId="4" fillId="3" borderId="8" xfId="0" applyNumberFormat="1" applyFont="1" applyFill="1" applyBorder="1" applyAlignment="1" applyProtection="1">
      <alignment horizontal="center" wrapText="1"/>
      <protection locked="0"/>
    </xf>
    <xf numFmtId="0" fontId="4" fillId="3" borderId="7" xfId="0" applyFont="1" applyFill="1" applyBorder="1" applyAlignment="1" applyProtection="1">
      <alignment horizontal="left" wrapText="1"/>
      <protection locked="0"/>
    </xf>
    <xf numFmtId="0" fontId="4" fillId="3" borderId="8" xfId="0" applyFont="1" applyFill="1" applyBorder="1" applyAlignment="1" applyProtection="1">
      <alignment horizontal="left" wrapText="1"/>
      <protection locked="0"/>
    </xf>
    <xf numFmtId="0" fontId="4" fillId="3" borderId="9" xfId="0" applyFont="1" applyFill="1" applyBorder="1" applyAlignment="1" applyProtection="1">
      <alignment horizontal="left" wrapText="1"/>
      <protection locked="0"/>
    </xf>
    <xf numFmtId="49" fontId="4" fillId="3" borderId="17" xfId="0" applyNumberFormat="1" applyFont="1" applyFill="1" applyBorder="1" applyAlignment="1" applyProtection="1">
      <alignment horizontal="center" wrapText="1"/>
      <protection locked="0"/>
    </xf>
    <xf numFmtId="49" fontId="4" fillId="3" borderId="7" xfId="0" applyNumberFormat="1" applyFont="1" applyFill="1" applyBorder="1" applyAlignment="1" applyProtection="1">
      <alignment horizontal="left" wrapText="1"/>
      <protection locked="0"/>
    </xf>
    <xf numFmtId="0" fontId="4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left" wrapText="1"/>
    </xf>
    <xf numFmtId="0" fontId="3" fillId="2" borderId="8" xfId="0" applyFont="1" applyFill="1" applyBorder="1" applyAlignment="1">
      <alignment horizontal="left" wrapText="1"/>
    </xf>
    <xf numFmtId="0" fontId="3" fillId="2" borderId="9" xfId="0" applyFont="1" applyFill="1" applyBorder="1" applyAlignment="1">
      <alignment horizontal="left" wrapText="1"/>
    </xf>
    <xf numFmtId="166" fontId="4" fillId="4" borderId="7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4" fontId="3" fillId="3" borderId="7" xfId="0" applyNumberFormat="1" applyFont="1" applyFill="1" applyBorder="1" applyAlignment="1">
      <alignment horizontal="left" wrapText="1"/>
    </xf>
    <xf numFmtId="0" fontId="3" fillId="3" borderId="8" xfId="0" applyFont="1" applyFill="1" applyBorder="1" applyAlignment="1">
      <alignment horizontal="left" wrapText="1"/>
    </xf>
    <xf numFmtId="0" fontId="3" fillId="3" borderId="9" xfId="0" applyFont="1" applyFill="1" applyBorder="1" applyAlignment="1">
      <alignment horizontal="left" wrapText="1"/>
    </xf>
    <xf numFmtId="4" fontId="4" fillId="3" borderId="7" xfId="0" applyNumberFormat="1" applyFont="1" applyFill="1" applyBorder="1" applyAlignment="1" applyProtection="1">
      <alignment horizontal="center"/>
      <protection locked="0"/>
    </xf>
    <xf numFmtId="4" fontId="4" fillId="3" borderId="8" xfId="0" applyNumberFormat="1" applyFont="1" applyFill="1" applyBorder="1" applyAlignment="1" applyProtection="1">
      <alignment horizontal="center"/>
      <protection locked="0"/>
    </xf>
    <xf numFmtId="4" fontId="4" fillId="3" borderId="9" xfId="0" applyNumberFormat="1" applyFont="1" applyFill="1" applyBorder="1" applyAlignment="1" applyProtection="1">
      <alignment horizontal="center"/>
      <protection locked="0"/>
    </xf>
    <xf numFmtId="0" fontId="3" fillId="3" borderId="7" xfId="0" applyFont="1" applyFill="1" applyBorder="1" applyAlignment="1">
      <alignment horizontal="left" wrapText="1"/>
    </xf>
    <xf numFmtId="0" fontId="3" fillId="3" borderId="5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horizontal="left"/>
    </xf>
    <xf numFmtId="0" fontId="4" fillId="5" borderId="5" xfId="0" applyFont="1" applyFill="1" applyBorder="1" applyAlignment="1">
      <alignment horizontal="center"/>
    </xf>
    <xf numFmtId="0" fontId="4" fillId="4" borderId="7" xfId="0" quotePrefix="1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165" fontId="4" fillId="0" borderId="0" xfId="0" applyNumberFormat="1" applyFont="1" applyAlignment="1">
      <alignment horizontal="left" vertical="top" wrapText="1" shrinkToFit="1"/>
    </xf>
    <xf numFmtId="0" fontId="2" fillId="0" borderId="5" xfId="0" applyFont="1" applyBorder="1" applyAlignment="1" applyProtection="1">
      <alignment horizontal="center"/>
      <protection locked="0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2" fillId="0" borderId="0" xfId="0" applyFont="1" applyAlignment="1">
      <alignment horizontal="center" vertical="top"/>
    </xf>
    <xf numFmtId="0" fontId="4" fillId="0" borderId="5" xfId="0" applyFont="1" applyBorder="1" applyAlignment="1">
      <alignment horizontal="center" vertical="center"/>
    </xf>
    <xf numFmtId="164" fontId="5" fillId="2" borderId="0" xfId="0" applyNumberFormat="1" applyFont="1" applyFill="1" applyAlignment="1">
      <alignment horizontal="center" vertical="center" wrapText="1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/>
    <xf numFmtId="0" fontId="3" fillId="3" borderId="7" xfId="0" applyFont="1" applyFill="1" applyBorder="1" applyAlignment="1" applyProtection="1">
      <alignment horizontal="left" wrapText="1"/>
      <protection locked="0"/>
    </xf>
    <xf numFmtId="0" fontId="3" fillId="3" borderId="8" xfId="0" applyFont="1" applyFill="1" applyBorder="1" applyAlignment="1" applyProtection="1">
      <alignment horizontal="left" wrapText="1"/>
      <protection locked="0"/>
    </xf>
    <xf numFmtId="0" fontId="3" fillId="3" borderId="9" xfId="0" applyFont="1" applyFill="1" applyBorder="1" applyAlignment="1" applyProtection="1">
      <alignment horizontal="left" wrapText="1"/>
      <protection locked="0"/>
    </xf>
    <xf numFmtId="14" fontId="3" fillId="3" borderId="7" xfId="0" applyNumberFormat="1" applyFont="1" applyFill="1" applyBorder="1" applyAlignment="1" applyProtection="1">
      <alignment horizontal="left" wrapText="1"/>
      <protection locked="0"/>
    </xf>
    <xf numFmtId="0" fontId="4" fillId="5" borderId="5" xfId="0" applyFont="1" applyFill="1" applyBorder="1" applyAlignment="1" applyProtection="1">
      <alignment horizontal="center"/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0DF2B-2837-489D-9EF6-DDDDF9CFE02E}">
  <dimension ref="A1:D31"/>
  <sheetViews>
    <sheetView workbookViewId="0">
      <selection activeCell="T11" sqref="T11"/>
    </sheetView>
  </sheetViews>
  <sheetFormatPr defaultRowHeight="14.25"/>
  <sheetData>
    <row r="1" spans="1:4">
      <c r="A1" t="s">
        <v>29</v>
      </c>
      <c r="B1">
        <v>2025</v>
      </c>
      <c r="C1">
        <v>1</v>
      </c>
      <c r="D1" t="s">
        <v>44</v>
      </c>
    </row>
    <row r="2" spans="1:4">
      <c r="A2" t="s">
        <v>30</v>
      </c>
      <c r="B2">
        <v>2026</v>
      </c>
      <c r="C2">
        <v>2</v>
      </c>
      <c r="D2" t="s">
        <v>45</v>
      </c>
    </row>
    <row r="3" spans="1:4">
      <c r="A3" t="s">
        <v>31</v>
      </c>
      <c r="B3">
        <v>2027</v>
      </c>
      <c r="C3">
        <v>3</v>
      </c>
    </row>
    <row r="4" spans="1:4">
      <c r="A4" t="s">
        <v>32</v>
      </c>
      <c r="B4">
        <v>2028</v>
      </c>
      <c r="C4">
        <v>4</v>
      </c>
    </row>
    <row r="5" spans="1:4">
      <c r="A5" t="s">
        <v>33</v>
      </c>
      <c r="B5">
        <v>2029</v>
      </c>
      <c r="C5">
        <v>5</v>
      </c>
    </row>
    <row r="6" spans="1:4">
      <c r="A6" t="s">
        <v>34</v>
      </c>
      <c r="B6">
        <v>2030</v>
      </c>
      <c r="C6">
        <v>6</v>
      </c>
    </row>
    <row r="7" spans="1:4">
      <c r="A7" t="s">
        <v>35</v>
      </c>
      <c r="C7">
        <v>7</v>
      </c>
    </row>
    <row r="8" spans="1:4">
      <c r="A8" t="s">
        <v>36</v>
      </c>
      <c r="C8">
        <v>8</v>
      </c>
    </row>
    <row r="9" spans="1:4">
      <c r="A9" t="s">
        <v>37</v>
      </c>
      <c r="C9">
        <v>9</v>
      </c>
    </row>
    <row r="10" spans="1:4">
      <c r="A10" t="s">
        <v>9</v>
      </c>
      <c r="C10">
        <v>10</v>
      </c>
    </row>
    <row r="11" spans="1:4">
      <c r="A11" t="s">
        <v>38</v>
      </c>
      <c r="C11">
        <v>11</v>
      </c>
    </row>
    <row r="12" spans="1:4">
      <c r="A12" t="s">
        <v>39</v>
      </c>
      <c r="C12">
        <v>12</v>
      </c>
    </row>
    <row r="13" spans="1:4">
      <c r="C13">
        <v>13</v>
      </c>
    </row>
    <row r="14" spans="1:4">
      <c r="C14">
        <v>14</v>
      </c>
    </row>
    <row r="15" spans="1:4">
      <c r="C15">
        <v>15</v>
      </c>
    </row>
    <row r="16" spans="1:4">
      <c r="C16">
        <v>16</v>
      </c>
    </row>
    <row r="17" spans="3:3">
      <c r="C17">
        <v>17</v>
      </c>
    </row>
    <row r="18" spans="3:3">
      <c r="C18">
        <v>18</v>
      </c>
    </row>
    <row r="19" spans="3:3">
      <c r="C19">
        <v>19</v>
      </c>
    </row>
    <row r="20" spans="3:3">
      <c r="C20">
        <v>20</v>
      </c>
    </row>
    <row r="21" spans="3:3">
      <c r="C21">
        <v>21</v>
      </c>
    </row>
    <row r="22" spans="3:3">
      <c r="C22">
        <v>22</v>
      </c>
    </row>
    <row r="23" spans="3:3">
      <c r="C23">
        <v>23</v>
      </c>
    </row>
    <row r="24" spans="3:3">
      <c r="C24">
        <v>24</v>
      </c>
    </row>
    <row r="25" spans="3:3">
      <c r="C25">
        <v>25</v>
      </c>
    </row>
    <row r="26" spans="3:3">
      <c r="C26">
        <v>26</v>
      </c>
    </row>
    <row r="27" spans="3:3">
      <c r="C27">
        <v>27</v>
      </c>
    </row>
    <row r="28" spans="3:3">
      <c r="C28">
        <v>28</v>
      </c>
    </row>
    <row r="29" spans="3:3">
      <c r="C29">
        <v>29</v>
      </c>
    </row>
    <row r="30" spans="3:3">
      <c r="C30">
        <v>30</v>
      </c>
    </row>
    <row r="31" spans="3:3">
      <c r="C31">
        <v>31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5F4F-80C6-4FA3-B4D2-F438E05AEE86}">
  <dimension ref="A2:B6"/>
  <sheetViews>
    <sheetView workbookViewId="0">
      <selection activeCell="Q20" sqref="Q20"/>
    </sheetView>
  </sheetViews>
  <sheetFormatPr defaultRowHeight="14.25"/>
  <cols>
    <col min="1" max="1" width="4.375" style="32" customWidth="1"/>
  </cols>
  <sheetData>
    <row r="2" spans="1:2" ht="25.5" customHeight="1">
      <c r="A2" s="32">
        <v>1</v>
      </c>
      <c r="B2" t="s">
        <v>58</v>
      </c>
    </row>
    <row r="3" spans="1:2" ht="24" customHeight="1">
      <c r="A3" s="32">
        <v>2</v>
      </c>
      <c r="B3" t="s">
        <v>54</v>
      </c>
    </row>
    <row r="4" spans="1:2" ht="27.75" customHeight="1">
      <c r="A4" s="32">
        <v>3</v>
      </c>
      <c r="B4" t="s">
        <v>55</v>
      </c>
    </row>
    <row r="5" spans="1:2" ht="31.5" customHeight="1">
      <c r="A5" s="32">
        <v>4</v>
      </c>
      <c r="B5" t="s">
        <v>56</v>
      </c>
    </row>
    <row r="6" spans="1:2" ht="37.5" customHeight="1">
      <c r="A6" s="32">
        <v>5</v>
      </c>
      <c r="B6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9F2F1-5620-4FB0-8D66-49C18A10C7AB}">
  <sheetPr codeName="Лист6">
    <tabColor rgb="FFFFFF00"/>
    <pageSetUpPr fitToPage="1"/>
  </sheetPr>
  <dimension ref="A1:S54"/>
  <sheetViews>
    <sheetView topLeftCell="A27" zoomScaleNormal="100" workbookViewId="0">
      <selection activeCell="E38" sqref="E38:G38"/>
    </sheetView>
  </sheetViews>
  <sheetFormatPr defaultRowHeight="14.25"/>
  <cols>
    <col min="2" max="2" width="8.125" customWidth="1"/>
    <col min="4" max="4" width="17" customWidth="1"/>
    <col min="5" max="5" width="1.75" customWidth="1"/>
    <col min="7" max="7" width="5" customWidth="1"/>
    <col min="9" max="9" width="1.375" customWidth="1"/>
    <col min="10" max="10" width="9.75" customWidth="1"/>
    <col min="11" max="11" width="1.75" customWidth="1"/>
    <col min="12" max="12" width="9.625" customWidth="1"/>
    <col min="13" max="13" width="5.25" customWidth="1"/>
    <col min="15" max="15" width="2" customWidth="1"/>
    <col min="16" max="16" width="21.125" customWidth="1"/>
    <col min="258" max="258" width="12.375" customWidth="1"/>
    <col min="260" max="260" width="13" customWidth="1"/>
    <col min="261" max="261" width="1.75" customWidth="1"/>
    <col min="263" max="263" width="2.125" customWidth="1"/>
    <col min="265" max="265" width="1.375" customWidth="1"/>
    <col min="266" max="266" width="9.75" customWidth="1"/>
    <col min="267" max="267" width="1.75" customWidth="1"/>
    <col min="268" max="268" width="9.625" customWidth="1"/>
    <col min="269" max="269" width="5.25" customWidth="1"/>
    <col min="271" max="271" width="2" customWidth="1"/>
    <col min="272" max="272" width="21.125" customWidth="1"/>
    <col min="514" max="514" width="12.375" customWidth="1"/>
    <col min="516" max="516" width="13" customWidth="1"/>
    <col min="517" max="517" width="1.75" customWidth="1"/>
    <col min="519" max="519" width="2.125" customWidth="1"/>
    <col min="521" max="521" width="1.375" customWidth="1"/>
    <col min="522" max="522" width="9.75" customWidth="1"/>
    <col min="523" max="523" width="1.75" customWidth="1"/>
    <col min="524" max="524" width="9.625" customWidth="1"/>
    <col min="525" max="525" width="5.25" customWidth="1"/>
    <col min="527" max="527" width="2" customWidth="1"/>
    <col min="528" max="528" width="21.125" customWidth="1"/>
    <col min="770" max="770" width="12.375" customWidth="1"/>
    <col min="772" max="772" width="13" customWidth="1"/>
    <col min="773" max="773" width="1.75" customWidth="1"/>
    <col min="775" max="775" width="2.125" customWidth="1"/>
    <col min="777" max="777" width="1.375" customWidth="1"/>
    <col min="778" max="778" width="9.75" customWidth="1"/>
    <col min="779" max="779" width="1.75" customWidth="1"/>
    <col min="780" max="780" width="9.625" customWidth="1"/>
    <col min="781" max="781" width="5.25" customWidth="1"/>
    <col min="783" max="783" width="2" customWidth="1"/>
    <col min="784" max="784" width="21.125" customWidth="1"/>
    <col min="1026" max="1026" width="12.375" customWidth="1"/>
    <col min="1028" max="1028" width="13" customWidth="1"/>
    <col min="1029" max="1029" width="1.75" customWidth="1"/>
    <col min="1031" max="1031" width="2.125" customWidth="1"/>
    <col min="1033" max="1033" width="1.375" customWidth="1"/>
    <col min="1034" max="1034" width="9.75" customWidth="1"/>
    <col min="1035" max="1035" width="1.75" customWidth="1"/>
    <col min="1036" max="1036" width="9.625" customWidth="1"/>
    <col min="1037" max="1037" width="5.25" customWidth="1"/>
    <col min="1039" max="1039" width="2" customWidth="1"/>
    <col min="1040" max="1040" width="21.125" customWidth="1"/>
    <col min="1282" max="1282" width="12.375" customWidth="1"/>
    <col min="1284" max="1284" width="13" customWidth="1"/>
    <col min="1285" max="1285" width="1.75" customWidth="1"/>
    <col min="1287" max="1287" width="2.125" customWidth="1"/>
    <col min="1289" max="1289" width="1.375" customWidth="1"/>
    <col min="1290" max="1290" width="9.75" customWidth="1"/>
    <col min="1291" max="1291" width="1.75" customWidth="1"/>
    <col min="1292" max="1292" width="9.625" customWidth="1"/>
    <col min="1293" max="1293" width="5.25" customWidth="1"/>
    <col min="1295" max="1295" width="2" customWidth="1"/>
    <col min="1296" max="1296" width="21.125" customWidth="1"/>
    <col min="1538" max="1538" width="12.375" customWidth="1"/>
    <col min="1540" max="1540" width="13" customWidth="1"/>
    <col min="1541" max="1541" width="1.75" customWidth="1"/>
    <col min="1543" max="1543" width="2.125" customWidth="1"/>
    <col min="1545" max="1545" width="1.375" customWidth="1"/>
    <col min="1546" max="1546" width="9.75" customWidth="1"/>
    <col min="1547" max="1547" width="1.75" customWidth="1"/>
    <col min="1548" max="1548" width="9.625" customWidth="1"/>
    <col min="1549" max="1549" width="5.25" customWidth="1"/>
    <col min="1551" max="1551" width="2" customWidth="1"/>
    <col min="1552" max="1552" width="21.125" customWidth="1"/>
    <col min="1794" max="1794" width="12.375" customWidth="1"/>
    <col min="1796" max="1796" width="13" customWidth="1"/>
    <col min="1797" max="1797" width="1.75" customWidth="1"/>
    <col min="1799" max="1799" width="2.125" customWidth="1"/>
    <col min="1801" max="1801" width="1.375" customWidth="1"/>
    <col min="1802" max="1802" width="9.75" customWidth="1"/>
    <col min="1803" max="1803" width="1.75" customWidth="1"/>
    <col min="1804" max="1804" width="9.625" customWidth="1"/>
    <col min="1805" max="1805" width="5.25" customWidth="1"/>
    <col min="1807" max="1807" width="2" customWidth="1"/>
    <col min="1808" max="1808" width="21.125" customWidth="1"/>
    <col min="2050" max="2050" width="12.375" customWidth="1"/>
    <col min="2052" max="2052" width="13" customWidth="1"/>
    <col min="2053" max="2053" width="1.75" customWidth="1"/>
    <col min="2055" max="2055" width="2.125" customWidth="1"/>
    <col min="2057" max="2057" width="1.375" customWidth="1"/>
    <col min="2058" max="2058" width="9.75" customWidth="1"/>
    <col min="2059" max="2059" width="1.75" customWidth="1"/>
    <col min="2060" max="2060" width="9.625" customWidth="1"/>
    <col min="2061" max="2061" width="5.25" customWidth="1"/>
    <col min="2063" max="2063" width="2" customWidth="1"/>
    <col min="2064" max="2064" width="21.125" customWidth="1"/>
    <col min="2306" max="2306" width="12.375" customWidth="1"/>
    <col min="2308" max="2308" width="13" customWidth="1"/>
    <col min="2309" max="2309" width="1.75" customWidth="1"/>
    <col min="2311" max="2311" width="2.125" customWidth="1"/>
    <col min="2313" max="2313" width="1.375" customWidth="1"/>
    <col min="2314" max="2314" width="9.75" customWidth="1"/>
    <col min="2315" max="2315" width="1.75" customWidth="1"/>
    <col min="2316" max="2316" width="9.625" customWidth="1"/>
    <col min="2317" max="2317" width="5.25" customWidth="1"/>
    <col min="2319" max="2319" width="2" customWidth="1"/>
    <col min="2320" max="2320" width="21.125" customWidth="1"/>
    <col min="2562" max="2562" width="12.375" customWidth="1"/>
    <col min="2564" max="2564" width="13" customWidth="1"/>
    <col min="2565" max="2565" width="1.75" customWidth="1"/>
    <col min="2567" max="2567" width="2.125" customWidth="1"/>
    <col min="2569" max="2569" width="1.375" customWidth="1"/>
    <col min="2570" max="2570" width="9.75" customWidth="1"/>
    <col min="2571" max="2571" width="1.75" customWidth="1"/>
    <col min="2572" max="2572" width="9.625" customWidth="1"/>
    <col min="2573" max="2573" width="5.25" customWidth="1"/>
    <col min="2575" max="2575" width="2" customWidth="1"/>
    <col min="2576" max="2576" width="21.125" customWidth="1"/>
    <col min="2818" max="2818" width="12.375" customWidth="1"/>
    <col min="2820" max="2820" width="13" customWidth="1"/>
    <col min="2821" max="2821" width="1.75" customWidth="1"/>
    <col min="2823" max="2823" width="2.125" customWidth="1"/>
    <col min="2825" max="2825" width="1.375" customWidth="1"/>
    <col min="2826" max="2826" width="9.75" customWidth="1"/>
    <col min="2827" max="2827" width="1.75" customWidth="1"/>
    <col min="2828" max="2828" width="9.625" customWidth="1"/>
    <col min="2829" max="2829" width="5.25" customWidth="1"/>
    <col min="2831" max="2831" width="2" customWidth="1"/>
    <col min="2832" max="2832" width="21.125" customWidth="1"/>
    <col min="3074" max="3074" width="12.375" customWidth="1"/>
    <col min="3076" max="3076" width="13" customWidth="1"/>
    <col min="3077" max="3077" width="1.75" customWidth="1"/>
    <col min="3079" max="3079" width="2.125" customWidth="1"/>
    <col min="3081" max="3081" width="1.375" customWidth="1"/>
    <col min="3082" max="3082" width="9.75" customWidth="1"/>
    <col min="3083" max="3083" width="1.75" customWidth="1"/>
    <col min="3084" max="3084" width="9.625" customWidth="1"/>
    <col min="3085" max="3085" width="5.25" customWidth="1"/>
    <col min="3087" max="3087" width="2" customWidth="1"/>
    <col min="3088" max="3088" width="21.125" customWidth="1"/>
    <col min="3330" max="3330" width="12.375" customWidth="1"/>
    <col min="3332" max="3332" width="13" customWidth="1"/>
    <col min="3333" max="3333" width="1.75" customWidth="1"/>
    <col min="3335" max="3335" width="2.125" customWidth="1"/>
    <col min="3337" max="3337" width="1.375" customWidth="1"/>
    <col min="3338" max="3338" width="9.75" customWidth="1"/>
    <col min="3339" max="3339" width="1.75" customWidth="1"/>
    <col min="3340" max="3340" width="9.625" customWidth="1"/>
    <col min="3341" max="3341" width="5.25" customWidth="1"/>
    <col min="3343" max="3343" width="2" customWidth="1"/>
    <col min="3344" max="3344" width="21.125" customWidth="1"/>
    <col min="3586" max="3586" width="12.375" customWidth="1"/>
    <col min="3588" max="3588" width="13" customWidth="1"/>
    <col min="3589" max="3589" width="1.75" customWidth="1"/>
    <col min="3591" max="3591" width="2.125" customWidth="1"/>
    <col min="3593" max="3593" width="1.375" customWidth="1"/>
    <col min="3594" max="3594" width="9.75" customWidth="1"/>
    <col min="3595" max="3595" width="1.75" customWidth="1"/>
    <col min="3596" max="3596" width="9.625" customWidth="1"/>
    <col min="3597" max="3597" width="5.25" customWidth="1"/>
    <col min="3599" max="3599" width="2" customWidth="1"/>
    <col min="3600" max="3600" width="21.125" customWidth="1"/>
    <col min="3842" max="3842" width="12.375" customWidth="1"/>
    <col min="3844" max="3844" width="13" customWidth="1"/>
    <col min="3845" max="3845" width="1.75" customWidth="1"/>
    <col min="3847" max="3847" width="2.125" customWidth="1"/>
    <col min="3849" max="3849" width="1.375" customWidth="1"/>
    <col min="3850" max="3850" width="9.75" customWidth="1"/>
    <col min="3851" max="3851" width="1.75" customWidth="1"/>
    <col min="3852" max="3852" width="9.625" customWidth="1"/>
    <col min="3853" max="3853" width="5.25" customWidth="1"/>
    <col min="3855" max="3855" width="2" customWidth="1"/>
    <col min="3856" max="3856" width="21.125" customWidth="1"/>
    <col min="4098" max="4098" width="12.375" customWidth="1"/>
    <col min="4100" max="4100" width="13" customWidth="1"/>
    <col min="4101" max="4101" width="1.75" customWidth="1"/>
    <col min="4103" max="4103" width="2.125" customWidth="1"/>
    <col min="4105" max="4105" width="1.375" customWidth="1"/>
    <col min="4106" max="4106" width="9.75" customWidth="1"/>
    <col min="4107" max="4107" width="1.75" customWidth="1"/>
    <col min="4108" max="4108" width="9.625" customWidth="1"/>
    <col min="4109" max="4109" width="5.25" customWidth="1"/>
    <col min="4111" max="4111" width="2" customWidth="1"/>
    <col min="4112" max="4112" width="21.125" customWidth="1"/>
    <col min="4354" max="4354" width="12.375" customWidth="1"/>
    <col min="4356" max="4356" width="13" customWidth="1"/>
    <col min="4357" max="4357" width="1.75" customWidth="1"/>
    <col min="4359" max="4359" width="2.125" customWidth="1"/>
    <col min="4361" max="4361" width="1.375" customWidth="1"/>
    <col min="4362" max="4362" width="9.75" customWidth="1"/>
    <col min="4363" max="4363" width="1.75" customWidth="1"/>
    <col min="4364" max="4364" width="9.625" customWidth="1"/>
    <col min="4365" max="4365" width="5.25" customWidth="1"/>
    <col min="4367" max="4367" width="2" customWidth="1"/>
    <col min="4368" max="4368" width="21.125" customWidth="1"/>
    <col min="4610" max="4610" width="12.375" customWidth="1"/>
    <col min="4612" max="4612" width="13" customWidth="1"/>
    <col min="4613" max="4613" width="1.75" customWidth="1"/>
    <col min="4615" max="4615" width="2.125" customWidth="1"/>
    <col min="4617" max="4617" width="1.375" customWidth="1"/>
    <col min="4618" max="4618" width="9.75" customWidth="1"/>
    <col min="4619" max="4619" width="1.75" customWidth="1"/>
    <col min="4620" max="4620" width="9.625" customWidth="1"/>
    <col min="4621" max="4621" width="5.25" customWidth="1"/>
    <col min="4623" max="4623" width="2" customWidth="1"/>
    <col min="4624" max="4624" width="21.125" customWidth="1"/>
    <col min="4866" max="4866" width="12.375" customWidth="1"/>
    <col min="4868" max="4868" width="13" customWidth="1"/>
    <col min="4869" max="4869" width="1.75" customWidth="1"/>
    <col min="4871" max="4871" width="2.125" customWidth="1"/>
    <col min="4873" max="4873" width="1.375" customWidth="1"/>
    <col min="4874" max="4874" width="9.75" customWidth="1"/>
    <col min="4875" max="4875" width="1.75" customWidth="1"/>
    <col min="4876" max="4876" width="9.625" customWidth="1"/>
    <col min="4877" max="4877" width="5.25" customWidth="1"/>
    <col min="4879" max="4879" width="2" customWidth="1"/>
    <col min="4880" max="4880" width="21.125" customWidth="1"/>
    <col min="5122" max="5122" width="12.375" customWidth="1"/>
    <col min="5124" max="5124" width="13" customWidth="1"/>
    <col min="5125" max="5125" width="1.75" customWidth="1"/>
    <col min="5127" max="5127" width="2.125" customWidth="1"/>
    <col min="5129" max="5129" width="1.375" customWidth="1"/>
    <col min="5130" max="5130" width="9.75" customWidth="1"/>
    <col min="5131" max="5131" width="1.75" customWidth="1"/>
    <col min="5132" max="5132" width="9.625" customWidth="1"/>
    <col min="5133" max="5133" width="5.25" customWidth="1"/>
    <col min="5135" max="5135" width="2" customWidth="1"/>
    <col min="5136" max="5136" width="21.125" customWidth="1"/>
    <col min="5378" max="5378" width="12.375" customWidth="1"/>
    <col min="5380" max="5380" width="13" customWidth="1"/>
    <col min="5381" max="5381" width="1.75" customWidth="1"/>
    <col min="5383" max="5383" width="2.125" customWidth="1"/>
    <col min="5385" max="5385" width="1.375" customWidth="1"/>
    <col min="5386" max="5386" width="9.75" customWidth="1"/>
    <col min="5387" max="5387" width="1.75" customWidth="1"/>
    <col min="5388" max="5388" width="9.625" customWidth="1"/>
    <col min="5389" max="5389" width="5.25" customWidth="1"/>
    <col min="5391" max="5391" width="2" customWidth="1"/>
    <col min="5392" max="5392" width="21.125" customWidth="1"/>
    <col min="5634" max="5634" width="12.375" customWidth="1"/>
    <col min="5636" max="5636" width="13" customWidth="1"/>
    <col min="5637" max="5637" width="1.75" customWidth="1"/>
    <col min="5639" max="5639" width="2.125" customWidth="1"/>
    <col min="5641" max="5641" width="1.375" customWidth="1"/>
    <col min="5642" max="5642" width="9.75" customWidth="1"/>
    <col min="5643" max="5643" width="1.75" customWidth="1"/>
    <col min="5644" max="5644" width="9.625" customWidth="1"/>
    <col min="5645" max="5645" width="5.25" customWidth="1"/>
    <col min="5647" max="5647" width="2" customWidth="1"/>
    <col min="5648" max="5648" width="21.125" customWidth="1"/>
    <col min="5890" max="5890" width="12.375" customWidth="1"/>
    <col min="5892" max="5892" width="13" customWidth="1"/>
    <col min="5893" max="5893" width="1.75" customWidth="1"/>
    <col min="5895" max="5895" width="2.125" customWidth="1"/>
    <col min="5897" max="5897" width="1.375" customWidth="1"/>
    <col min="5898" max="5898" width="9.75" customWidth="1"/>
    <col min="5899" max="5899" width="1.75" customWidth="1"/>
    <col min="5900" max="5900" width="9.625" customWidth="1"/>
    <col min="5901" max="5901" width="5.25" customWidth="1"/>
    <col min="5903" max="5903" width="2" customWidth="1"/>
    <col min="5904" max="5904" width="21.125" customWidth="1"/>
    <col min="6146" max="6146" width="12.375" customWidth="1"/>
    <col min="6148" max="6148" width="13" customWidth="1"/>
    <col min="6149" max="6149" width="1.75" customWidth="1"/>
    <col min="6151" max="6151" width="2.125" customWidth="1"/>
    <col min="6153" max="6153" width="1.375" customWidth="1"/>
    <col min="6154" max="6154" width="9.75" customWidth="1"/>
    <col min="6155" max="6155" width="1.75" customWidth="1"/>
    <col min="6156" max="6156" width="9.625" customWidth="1"/>
    <col min="6157" max="6157" width="5.25" customWidth="1"/>
    <col min="6159" max="6159" width="2" customWidth="1"/>
    <col min="6160" max="6160" width="21.125" customWidth="1"/>
    <col min="6402" max="6402" width="12.375" customWidth="1"/>
    <col min="6404" max="6404" width="13" customWidth="1"/>
    <col min="6405" max="6405" width="1.75" customWidth="1"/>
    <col min="6407" max="6407" width="2.125" customWidth="1"/>
    <col min="6409" max="6409" width="1.375" customWidth="1"/>
    <col min="6410" max="6410" width="9.75" customWidth="1"/>
    <col min="6411" max="6411" width="1.75" customWidth="1"/>
    <col min="6412" max="6412" width="9.625" customWidth="1"/>
    <col min="6413" max="6413" width="5.25" customWidth="1"/>
    <col min="6415" max="6415" width="2" customWidth="1"/>
    <col min="6416" max="6416" width="21.125" customWidth="1"/>
    <col min="6658" max="6658" width="12.375" customWidth="1"/>
    <col min="6660" max="6660" width="13" customWidth="1"/>
    <col min="6661" max="6661" width="1.75" customWidth="1"/>
    <col min="6663" max="6663" width="2.125" customWidth="1"/>
    <col min="6665" max="6665" width="1.375" customWidth="1"/>
    <col min="6666" max="6666" width="9.75" customWidth="1"/>
    <col min="6667" max="6667" width="1.75" customWidth="1"/>
    <col min="6668" max="6668" width="9.625" customWidth="1"/>
    <col min="6669" max="6669" width="5.25" customWidth="1"/>
    <col min="6671" max="6671" width="2" customWidth="1"/>
    <col min="6672" max="6672" width="21.125" customWidth="1"/>
    <col min="6914" max="6914" width="12.375" customWidth="1"/>
    <col min="6916" max="6916" width="13" customWidth="1"/>
    <col min="6917" max="6917" width="1.75" customWidth="1"/>
    <col min="6919" max="6919" width="2.125" customWidth="1"/>
    <col min="6921" max="6921" width="1.375" customWidth="1"/>
    <col min="6922" max="6922" width="9.75" customWidth="1"/>
    <col min="6923" max="6923" width="1.75" customWidth="1"/>
    <col min="6924" max="6924" width="9.625" customWidth="1"/>
    <col min="6925" max="6925" width="5.25" customWidth="1"/>
    <col min="6927" max="6927" width="2" customWidth="1"/>
    <col min="6928" max="6928" width="21.125" customWidth="1"/>
    <col min="7170" max="7170" width="12.375" customWidth="1"/>
    <col min="7172" max="7172" width="13" customWidth="1"/>
    <col min="7173" max="7173" width="1.75" customWidth="1"/>
    <col min="7175" max="7175" width="2.125" customWidth="1"/>
    <col min="7177" max="7177" width="1.375" customWidth="1"/>
    <col min="7178" max="7178" width="9.75" customWidth="1"/>
    <col min="7179" max="7179" width="1.75" customWidth="1"/>
    <col min="7180" max="7180" width="9.625" customWidth="1"/>
    <col min="7181" max="7181" width="5.25" customWidth="1"/>
    <col min="7183" max="7183" width="2" customWidth="1"/>
    <col min="7184" max="7184" width="21.125" customWidth="1"/>
    <col min="7426" max="7426" width="12.375" customWidth="1"/>
    <col min="7428" max="7428" width="13" customWidth="1"/>
    <col min="7429" max="7429" width="1.75" customWidth="1"/>
    <col min="7431" max="7431" width="2.125" customWidth="1"/>
    <col min="7433" max="7433" width="1.375" customWidth="1"/>
    <col min="7434" max="7434" width="9.75" customWidth="1"/>
    <col min="7435" max="7435" width="1.75" customWidth="1"/>
    <col min="7436" max="7436" width="9.625" customWidth="1"/>
    <col min="7437" max="7437" width="5.25" customWidth="1"/>
    <col min="7439" max="7439" width="2" customWidth="1"/>
    <col min="7440" max="7440" width="21.125" customWidth="1"/>
    <col min="7682" max="7682" width="12.375" customWidth="1"/>
    <col min="7684" max="7684" width="13" customWidth="1"/>
    <col min="7685" max="7685" width="1.75" customWidth="1"/>
    <col min="7687" max="7687" width="2.125" customWidth="1"/>
    <col min="7689" max="7689" width="1.375" customWidth="1"/>
    <col min="7690" max="7690" width="9.75" customWidth="1"/>
    <col min="7691" max="7691" width="1.75" customWidth="1"/>
    <col min="7692" max="7692" width="9.625" customWidth="1"/>
    <col min="7693" max="7693" width="5.25" customWidth="1"/>
    <col min="7695" max="7695" width="2" customWidth="1"/>
    <col min="7696" max="7696" width="21.125" customWidth="1"/>
    <col min="7938" max="7938" width="12.375" customWidth="1"/>
    <col min="7940" max="7940" width="13" customWidth="1"/>
    <col min="7941" max="7941" width="1.75" customWidth="1"/>
    <col min="7943" max="7943" width="2.125" customWidth="1"/>
    <col min="7945" max="7945" width="1.375" customWidth="1"/>
    <col min="7946" max="7946" width="9.75" customWidth="1"/>
    <col min="7947" max="7947" width="1.75" customWidth="1"/>
    <col min="7948" max="7948" width="9.625" customWidth="1"/>
    <col min="7949" max="7949" width="5.25" customWidth="1"/>
    <col min="7951" max="7951" width="2" customWidth="1"/>
    <col min="7952" max="7952" width="21.125" customWidth="1"/>
    <col min="8194" max="8194" width="12.375" customWidth="1"/>
    <col min="8196" max="8196" width="13" customWidth="1"/>
    <col min="8197" max="8197" width="1.75" customWidth="1"/>
    <col min="8199" max="8199" width="2.125" customWidth="1"/>
    <col min="8201" max="8201" width="1.375" customWidth="1"/>
    <col min="8202" max="8202" width="9.75" customWidth="1"/>
    <col min="8203" max="8203" width="1.75" customWidth="1"/>
    <col min="8204" max="8204" width="9.625" customWidth="1"/>
    <col min="8205" max="8205" width="5.25" customWidth="1"/>
    <col min="8207" max="8207" width="2" customWidth="1"/>
    <col min="8208" max="8208" width="21.125" customWidth="1"/>
    <col min="8450" max="8450" width="12.375" customWidth="1"/>
    <col min="8452" max="8452" width="13" customWidth="1"/>
    <col min="8453" max="8453" width="1.75" customWidth="1"/>
    <col min="8455" max="8455" width="2.125" customWidth="1"/>
    <col min="8457" max="8457" width="1.375" customWidth="1"/>
    <col min="8458" max="8458" width="9.75" customWidth="1"/>
    <col min="8459" max="8459" width="1.75" customWidth="1"/>
    <col min="8460" max="8460" width="9.625" customWidth="1"/>
    <col min="8461" max="8461" width="5.25" customWidth="1"/>
    <col min="8463" max="8463" width="2" customWidth="1"/>
    <col min="8464" max="8464" width="21.125" customWidth="1"/>
    <col min="8706" max="8706" width="12.375" customWidth="1"/>
    <col min="8708" max="8708" width="13" customWidth="1"/>
    <col min="8709" max="8709" width="1.75" customWidth="1"/>
    <col min="8711" max="8711" width="2.125" customWidth="1"/>
    <col min="8713" max="8713" width="1.375" customWidth="1"/>
    <col min="8714" max="8714" width="9.75" customWidth="1"/>
    <col min="8715" max="8715" width="1.75" customWidth="1"/>
    <col min="8716" max="8716" width="9.625" customWidth="1"/>
    <col min="8717" max="8717" width="5.25" customWidth="1"/>
    <col min="8719" max="8719" width="2" customWidth="1"/>
    <col min="8720" max="8720" width="21.125" customWidth="1"/>
    <col min="8962" max="8962" width="12.375" customWidth="1"/>
    <col min="8964" max="8964" width="13" customWidth="1"/>
    <col min="8965" max="8965" width="1.75" customWidth="1"/>
    <col min="8967" max="8967" width="2.125" customWidth="1"/>
    <col min="8969" max="8969" width="1.375" customWidth="1"/>
    <col min="8970" max="8970" width="9.75" customWidth="1"/>
    <col min="8971" max="8971" width="1.75" customWidth="1"/>
    <col min="8972" max="8972" width="9.625" customWidth="1"/>
    <col min="8973" max="8973" width="5.25" customWidth="1"/>
    <col min="8975" max="8975" width="2" customWidth="1"/>
    <col min="8976" max="8976" width="21.125" customWidth="1"/>
    <col min="9218" max="9218" width="12.375" customWidth="1"/>
    <col min="9220" max="9220" width="13" customWidth="1"/>
    <col min="9221" max="9221" width="1.75" customWidth="1"/>
    <col min="9223" max="9223" width="2.125" customWidth="1"/>
    <col min="9225" max="9225" width="1.375" customWidth="1"/>
    <col min="9226" max="9226" width="9.75" customWidth="1"/>
    <col min="9227" max="9227" width="1.75" customWidth="1"/>
    <col min="9228" max="9228" width="9.625" customWidth="1"/>
    <col min="9229" max="9229" width="5.25" customWidth="1"/>
    <col min="9231" max="9231" width="2" customWidth="1"/>
    <col min="9232" max="9232" width="21.125" customWidth="1"/>
    <col min="9474" max="9474" width="12.375" customWidth="1"/>
    <col min="9476" max="9476" width="13" customWidth="1"/>
    <col min="9477" max="9477" width="1.75" customWidth="1"/>
    <col min="9479" max="9479" width="2.125" customWidth="1"/>
    <col min="9481" max="9481" width="1.375" customWidth="1"/>
    <col min="9482" max="9482" width="9.75" customWidth="1"/>
    <col min="9483" max="9483" width="1.75" customWidth="1"/>
    <col min="9484" max="9484" width="9.625" customWidth="1"/>
    <col min="9485" max="9485" width="5.25" customWidth="1"/>
    <col min="9487" max="9487" width="2" customWidth="1"/>
    <col min="9488" max="9488" width="21.125" customWidth="1"/>
    <col min="9730" max="9730" width="12.375" customWidth="1"/>
    <col min="9732" max="9732" width="13" customWidth="1"/>
    <col min="9733" max="9733" width="1.75" customWidth="1"/>
    <col min="9735" max="9735" width="2.125" customWidth="1"/>
    <col min="9737" max="9737" width="1.375" customWidth="1"/>
    <col min="9738" max="9738" width="9.75" customWidth="1"/>
    <col min="9739" max="9739" width="1.75" customWidth="1"/>
    <col min="9740" max="9740" width="9.625" customWidth="1"/>
    <col min="9741" max="9741" width="5.25" customWidth="1"/>
    <col min="9743" max="9743" width="2" customWidth="1"/>
    <col min="9744" max="9744" width="21.125" customWidth="1"/>
    <col min="9986" max="9986" width="12.375" customWidth="1"/>
    <col min="9988" max="9988" width="13" customWidth="1"/>
    <col min="9989" max="9989" width="1.75" customWidth="1"/>
    <col min="9991" max="9991" width="2.125" customWidth="1"/>
    <col min="9993" max="9993" width="1.375" customWidth="1"/>
    <col min="9994" max="9994" width="9.75" customWidth="1"/>
    <col min="9995" max="9995" width="1.75" customWidth="1"/>
    <col min="9996" max="9996" width="9.625" customWidth="1"/>
    <col min="9997" max="9997" width="5.25" customWidth="1"/>
    <col min="9999" max="9999" width="2" customWidth="1"/>
    <col min="10000" max="10000" width="21.125" customWidth="1"/>
    <col min="10242" max="10242" width="12.375" customWidth="1"/>
    <col min="10244" max="10244" width="13" customWidth="1"/>
    <col min="10245" max="10245" width="1.75" customWidth="1"/>
    <col min="10247" max="10247" width="2.125" customWidth="1"/>
    <col min="10249" max="10249" width="1.375" customWidth="1"/>
    <col min="10250" max="10250" width="9.75" customWidth="1"/>
    <col min="10251" max="10251" width="1.75" customWidth="1"/>
    <col min="10252" max="10252" width="9.625" customWidth="1"/>
    <col min="10253" max="10253" width="5.25" customWidth="1"/>
    <col min="10255" max="10255" width="2" customWidth="1"/>
    <col min="10256" max="10256" width="21.125" customWidth="1"/>
    <col min="10498" max="10498" width="12.375" customWidth="1"/>
    <col min="10500" max="10500" width="13" customWidth="1"/>
    <col min="10501" max="10501" width="1.75" customWidth="1"/>
    <col min="10503" max="10503" width="2.125" customWidth="1"/>
    <col min="10505" max="10505" width="1.375" customWidth="1"/>
    <col min="10506" max="10506" width="9.75" customWidth="1"/>
    <col min="10507" max="10507" width="1.75" customWidth="1"/>
    <col min="10508" max="10508" width="9.625" customWidth="1"/>
    <col min="10509" max="10509" width="5.25" customWidth="1"/>
    <col min="10511" max="10511" width="2" customWidth="1"/>
    <col min="10512" max="10512" width="21.125" customWidth="1"/>
    <col min="10754" max="10754" width="12.375" customWidth="1"/>
    <col min="10756" max="10756" width="13" customWidth="1"/>
    <col min="10757" max="10757" width="1.75" customWidth="1"/>
    <col min="10759" max="10759" width="2.125" customWidth="1"/>
    <col min="10761" max="10761" width="1.375" customWidth="1"/>
    <col min="10762" max="10762" width="9.75" customWidth="1"/>
    <col min="10763" max="10763" width="1.75" customWidth="1"/>
    <col min="10764" max="10764" width="9.625" customWidth="1"/>
    <col min="10765" max="10765" width="5.25" customWidth="1"/>
    <col min="10767" max="10767" width="2" customWidth="1"/>
    <col min="10768" max="10768" width="21.125" customWidth="1"/>
    <col min="11010" max="11010" width="12.375" customWidth="1"/>
    <col min="11012" max="11012" width="13" customWidth="1"/>
    <col min="11013" max="11013" width="1.75" customWidth="1"/>
    <col min="11015" max="11015" width="2.125" customWidth="1"/>
    <col min="11017" max="11017" width="1.375" customWidth="1"/>
    <col min="11018" max="11018" width="9.75" customWidth="1"/>
    <col min="11019" max="11019" width="1.75" customWidth="1"/>
    <col min="11020" max="11020" width="9.625" customWidth="1"/>
    <col min="11021" max="11021" width="5.25" customWidth="1"/>
    <col min="11023" max="11023" width="2" customWidth="1"/>
    <col min="11024" max="11024" width="21.125" customWidth="1"/>
    <col min="11266" max="11266" width="12.375" customWidth="1"/>
    <col min="11268" max="11268" width="13" customWidth="1"/>
    <col min="11269" max="11269" width="1.75" customWidth="1"/>
    <col min="11271" max="11271" width="2.125" customWidth="1"/>
    <col min="11273" max="11273" width="1.375" customWidth="1"/>
    <col min="11274" max="11274" width="9.75" customWidth="1"/>
    <col min="11275" max="11275" width="1.75" customWidth="1"/>
    <col min="11276" max="11276" width="9.625" customWidth="1"/>
    <col min="11277" max="11277" width="5.25" customWidth="1"/>
    <col min="11279" max="11279" width="2" customWidth="1"/>
    <col min="11280" max="11280" width="21.125" customWidth="1"/>
    <col min="11522" max="11522" width="12.375" customWidth="1"/>
    <col min="11524" max="11524" width="13" customWidth="1"/>
    <col min="11525" max="11525" width="1.75" customWidth="1"/>
    <col min="11527" max="11527" width="2.125" customWidth="1"/>
    <col min="11529" max="11529" width="1.375" customWidth="1"/>
    <col min="11530" max="11530" width="9.75" customWidth="1"/>
    <col min="11531" max="11531" width="1.75" customWidth="1"/>
    <col min="11532" max="11532" width="9.625" customWidth="1"/>
    <col min="11533" max="11533" width="5.25" customWidth="1"/>
    <col min="11535" max="11535" width="2" customWidth="1"/>
    <col min="11536" max="11536" width="21.125" customWidth="1"/>
    <col min="11778" max="11778" width="12.375" customWidth="1"/>
    <col min="11780" max="11780" width="13" customWidth="1"/>
    <col min="11781" max="11781" width="1.75" customWidth="1"/>
    <col min="11783" max="11783" width="2.125" customWidth="1"/>
    <col min="11785" max="11785" width="1.375" customWidth="1"/>
    <col min="11786" max="11786" width="9.75" customWidth="1"/>
    <col min="11787" max="11787" width="1.75" customWidth="1"/>
    <col min="11788" max="11788" width="9.625" customWidth="1"/>
    <col min="11789" max="11789" width="5.25" customWidth="1"/>
    <col min="11791" max="11791" width="2" customWidth="1"/>
    <col min="11792" max="11792" width="21.125" customWidth="1"/>
    <col min="12034" max="12034" width="12.375" customWidth="1"/>
    <col min="12036" max="12036" width="13" customWidth="1"/>
    <col min="12037" max="12037" width="1.75" customWidth="1"/>
    <col min="12039" max="12039" width="2.125" customWidth="1"/>
    <col min="12041" max="12041" width="1.375" customWidth="1"/>
    <col min="12042" max="12042" width="9.75" customWidth="1"/>
    <col min="12043" max="12043" width="1.75" customWidth="1"/>
    <col min="12044" max="12044" width="9.625" customWidth="1"/>
    <col min="12045" max="12045" width="5.25" customWidth="1"/>
    <col min="12047" max="12047" width="2" customWidth="1"/>
    <col min="12048" max="12048" width="21.125" customWidth="1"/>
    <col min="12290" max="12290" width="12.375" customWidth="1"/>
    <col min="12292" max="12292" width="13" customWidth="1"/>
    <col min="12293" max="12293" width="1.75" customWidth="1"/>
    <col min="12295" max="12295" width="2.125" customWidth="1"/>
    <col min="12297" max="12297" width="1.375" customWidth="1"/>
    <col min="12298" max="12298" width="9.75" customWidth="1"/>
    <col min="12299" max="12299" width="1.75" customWidth="1"/>
    <col min="12300" max="12300" width="9.625" customWidth="1"/>
    <col min="12301" max="12301" width="5.25" customWidth="1"/>
    <col min="12303" max="12303" width="2" customWidth="1"/>
    <col min="12304" max="12304" width="21.125" customWidth="1"/>
    <col min="12546" max="12546" width="12.375" customWidth="1"/>
    <col min="12548" max="12548" width="13" customWidth="1"/>
    <col min="12549" max="12549" width="1.75" customWidth="1"/>
    <col min="12551" max="12551" width="2.125" customWidth="1"/>
    <col min="12553" max="12553" width="1.375" customWidth="1"/>
    <col min="12554" max="12554" width="9.75" customWidth="1"/>
    <col min="12555" max="12555" width="1.75" customWidth="1"/>
    <col min="12556" max="12556" width="9.625" customWidth="1"/>
    <col min="12557" max="12557" width="5.25" customWidth="1"/>
    <col min="12559" max="12559" width="2" customWidth="1"/>
    <col min="12560" max="12560" width="21.125" customWidth="1"/>
    <col min="12802" max="12802" width="12.375" customWidth="1"/>
    <col min="12804" max="12804" width="13" customWidth="1"/>
    <col min="12805" max="12805" width="1.75" customWidth="1"/>
    <col min="12807" max="12807" width="2.125" customWidth="1"/>
    <col min="12809" max="12809" width="1.375" customWidth="1"/>
    <col min="12810" max="12810" width="9.75" customWidth="1"/>
    <col min="12811" max="12811" width="1.75" customWidth="1"/>
    <col min="12812" max="12812" width="9.625" customWidth="1"/>
    <col min="12813" max="12813" width="5.25" customWidth="1"/>
    <col min="12815" max="12815" width="2" customWidth="1"/>
    <col min="12816" max="12816" width="21.125" customWidth="1"/>
    <col min="13058" max="13058" width="12.375" customWidth="1"/>
    <col min="13060" max="13060" width="13" customWidth="1"/>
    <col min="13061" max="13061" width="1.75" customWidth="1"/>
    <col min="13063" max="13063" width="2.125" customWidth="1"/>
    <col min="13065" max="13065" width="1.375" customWidth="1"/>
    <col min="13066" max="13066" width="9.75" customWidth="1"/>
    <col min="13067" max="13067" width="1.75" customWidth="1"/>
    <col min="13068" max="13068" width="9.625" customWidth="1"/>
    <col min="13069" max="13069" width="5.25" customWidth="1"/>
    <col min="13071" max="13071" width="2" customWidth="1"/>
    <col min="13072" max="13072" width="21.125" customWidth="1"/>
    <col min="13314" max="13314" width="12.375" customWidth="1"/>
    <col min="13316" max="13316" width="13" customWidth="1"/>
    <col min="13317" max="13317" width="1.75" customWidth="1"/>
    <col min="13319" max="13319" width="2.125" customWidth="1"/>
    <col min="13321" max="13321" width="1.375" customWidth="1"/>
    <col min="13322" max="13322" width="9.75" customWidth="1"/>
    <col min="13323" max="13323" width="1.75" customWidth="1"/>
    <col min="13324" max="13324" width="9.625" customWidth="1"/>
    <col min="13325" max="13325" width="5.25" customWidth="1"/>
    <col min="13327" max="13327" width="2" customWidth="1"/>
    <col min="13328" max="13328" width="21.125" customWidth="1"/>
    <col min="13570" max="13570" width="12.375" customWidth="1"/>
    <col min="13572" max="13572" width="13" customWidth="1"/>
    <col min="13573" max="13573" width="1.75" customWidth="1"/>
    <col min="13575" max="13575" width="2.125" customWidth="1"/>
    <col min="13577" max="13577" width="1.375" customWidth="1"/>
    <col min="13578" max="13578" width="9.75" customWidth="1"/>
    <col min="13579" max="13579" width="1.75" customWidth="1"/>
    <col min="13580" max="13580" width="9.625" customWidth="1"/>
    <col min="13581" max="13581" width="5.25" customWidth="1"/>
    <col min="13583" max="13583" width="2" customWidth="1"/>
    <col min="13584" max="13584" width="21.125" customWidth="1"/>
    <col min="13826" max="13826" width="12.375" customWidth="1"/>
    <col min="13828" max="13828" width="13" customWidth="1"/>
    <col min="13829" max="13829" width="1.75" customWidth="1"/>
    <col min="13831" max="13831" width="2.125" customWidth="1"/>
    <col min="13833" max="13833" width="1.375" customWidth="1"/>
    <col min="13834" max="13834" width="9.75" customWidth="1"/>
    <col min="13835" max="13835" width="1.75" customWidth="1"/>
    <col min="13836" max="13836" width="9.625" customWidth="1"/>
    <col min="13837" max="13837" width="5.25" customWidth="1"/>
    <col min="13839" max="13839" width="2" customWidth="1"/>
    <col min="13840" max="13840" width="21.125" customWidth="1"/>
    <col min="14082" max="14082" width="12.375" customWidth="1"/>
    <col min="14084" max="14084" width="13" customWidth="1"/>
    <col min="14085" max="14085" width="1.75" customWidth="1"/>
    <col min="14087" max="14087" width="2.125" customWidth="1"/>
    <col min="14089" max="14089" width="1.375" customWidth="1"/>
    <col min="14090" max="14090" width="9.75" customWidth="1"/>
    <col min="14091" max="14091" width="1.75" customWidth="1"/>
    <col min="14092" max="14092" width="9.625" customWidth="1"/>
    <col min="14093" max="14093" width="5.25" customWidth="1"/>
    <col min="14095" max="14095" width="2" customWidth="1"/>
    <col min="14096" max="14096" width="21.125" customWidth="1"/>
    <col min="14338" max="14338" width="12.375" customWidth="1"/>
    <col min="14340" max="14340" width="13" customWidth="1"/>
    <col min="14341" max="14341" width="1.75" customWidth="1"/>
    <col min="14343" max="14343" width="2.125" customWidth="1"/>
    <col min="14345" max="14345" width="1.375" customWidth="1"/>
    <col min="14346" max="14346" width="9.75" customWidth="1"/>
    <col min="14347" max="14347" width="1.75" customWidth="1"/>
    <col min="14348" max="14348" width="9.625" customWidth="1"/>
    <col min="14349" max="14349" width="5.25" customWidth="1"/>
    <col min="14351" max="14351" width="2" customWidth="1"/>
    <col min="14352" max="14352" width="21.125" customWidth="1"/>
    <col min="14594" max="14594" width="12.375" customWidth="1"/>
    <col min="14596" max="14596" width="13" customWidth="1"/>
    <col min="14597" max="14597" width="1.75" customWidth="1"/>
    <col min="14599" max="14599" width="2.125" customWidth="1"/>
    <col min="14601" max="14601" width="1.375" customWidth="1"/>
    <col min="14602" max="14602" width="9.75" customWidth="1"/>
    <col min="14603" max="14603" width="1.75" customWidth="1"/>
    <col min="14604" max="14604" width="9.625" customWidth="1"/>
    <col min="14605" max="14605" width="5.25" customWidth="1"/>
    <col min="14607" max="14607" width="2" customWidth="1"/>
    <col min="14608" max="14608" width="21.125" customWidth="1"/>
    <col min="14850" max="14850" width="12.375" customWidth="1"/>
    <col min="14852" max="14852" width="13" customWidth="1"/>
    <col min="14853" max="14853" width="1.75" customWidth="1"/>
    <col min="14855" max="14855" width="2.125" customWidth="1"/>
    <col min="14857" max="14857" width="1.375" customWidth="1"/>
    <col min="14858" max="14858" width="9.75" customWidth="1"/>
    <col min="14859" max="14859" width="1.75" customWidth="1"/>
    <col min="14860" max="14860" width="9.625" customWidth="1"/>
    <col min="14861" max="14861" width="5.25" customWidth="1"/>
    <col min="14863" max="14863" width="2" customWidth="1"/>
    <col min="14864" max="14864" width="21.125" customWidth="1"/>
    <col min="15106" max="15106" width="12.375" customWidth="1"/>
    <col min="15108" max="15108" width="13" customWidth="1"/>
    <col min="15109" max="15109" width="1.75" customWidth="1"/>
    <col min="15111" max="15111" width="2.125" customWidth="1"/>
    <col min="15113" max="15113" width="1.375" customWidth="1"/>
    <col min="15114" max="15114" width="9.75" customWidth="1"/>
    <col min="15115" max="15115" width="1.75" customWidth="1"/>
    <col min="15116" max="15116" width="9.625" customWidth="1"/>
    <col min="15117" max="15117" width="5.25" customWidth="1"/>
    <col min="15119" max="15119" width="2" customWidth="1"/>
    <col min="15120" max="15120" width="21.125" customWidth="1"/>
    <col min="15362" max="15362" width="12.375" customWidth="1"/>
    <col min="15364" max="15364" width="13" customWidth="1"/>
    <col min="15365" max="15365" width="1.75" customWidth="1"/>
    <col min="15367" max="15367" width="2.125" customWidth="1"/>
    <col min="15369" max="15369" width="1.375" customWidth="1"/>
    <col min="15370" max="15370" width="9.75" customWidth="1"/>
    <col min="15371" max="15371" width="1.75" customWidth="1"/>
    <col min="15372" max="15372" width="9.625" customWidth="1"/>
    <col min="15373" max="15373" width="5.25" customWidth="1"/>
    <col min="15375" max="15375" width="2" customWidth="1"/>
    <col min="15376" max="15376" width="21.125" customWidth="1"/>
    <col min="15618" max="15618" width="12.375" customWidth="1"/>
    <col min="15620" max="15620" width="13" customWidth="1"/>
    <col min="15621" max="15621" width="1.75" customWidth="1"/>
    <col min="15623" max="15623" width="2.125" customWidth="1"/>
    <col min="15625" max="15625" width="1.375" customWidth="1"/>
    <col min="15626" max="15626" width="9.75" customWidth="1"/>
    <col min="15627" max="15627" width="1.75" customWidth="1"/>
    <col min="15628" max="15628" width="9.625" customWidth="1"/>
    <col min="15629" max="15629" width="5.25" customWidth="1"/>
    <col min="15631" max="15631" width="2" customWidth="1"/>
    <col min="15632" max="15632" width="21.125" customWidth="1"/>
    <col min="15874" max="15874" width="12.375" customWidth="1"/>
    <col min="15876" max="15876" width="13" customWidth="1"/>
    <col min="15877" max="15877" width="1.75" customWidth="1"/>
    <col min="15879" max="15879" width="2.125" customWidth="1"/>
    <col min="15881" max="15881" width="1.375" customWidth="1"/>
    <col min="15882" max="15882" width="9.75" customWidth="1"/>
    <col min="15883" max="15883" width="1.75" customWidth="1"/>
    <col min="15884" max="15884" width="9.625" customWidth="1"/>
    <col min="15885" max="15885" width="5.25" customWidth="1"/>
    <col min="15887" max="15887" width="2" customWidth="1"/>
    <col min="15888" max="15888" width="21.125" customWidth="1"/>
    <col min="16130" max="16130" width="12.375" customWidth="1"/>
    <col min="16132" max="16132" width="13" customWidth="1"/>
    <col min="16133" max="16133" width="1.75" customWidth="1"/>
    <col min="16135" max="16135" width="2.125" customWidth="1"/>
    <col min="16137" max="16137" width="1.375" customWidth="1"/>
    <col min="16138" max="16138" width="9.75" customWidth="1"/>
    <col min="16139" max="16139" width="1.75" customWidth="1"/>
    <col min="16140" max="16140" width="9.625" customWidth="1"/>
    <col min="16141" max="16141" width="5.25" customWidth="1"/>
    <col min="16143" max="16143" width="2" customWidth="1"/>
    <col min="16144" max="16144" width="21.125" customWidth="1"/>
  </cols>
  <sheetData>
    <row r="1" spans="1:19" ht="18.75" customHeight="1">
      <c r="A1" s="29" t="s">
        <v>49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1:19" ht="23.25" customHeight="1">
      <c r="A2" s="28" t="s">
        <v>47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9" ht="20.25" customHeight="1">
      <c r="A3" s="28" t="s">
        <v>48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9" ht="18.75">
      <c r="A4" s="103" t="s">
        <v>0</v>
      </c>
      <c r="B4" s="103"/>
      <c r="C4" s="103"/>
      <c r="D4" s="103"/>
      <c r="E4" s="1"/>
      <c r="F4" s="1"/>
      <c r="G4" s="1"/>
      <c r="H4" s="1"/>
      <c r="I4" s="2" t="s">
        <v>1</v>
      </c>
      <c r="K4" s="1"/>
      <c r="L4" s="1"/>
      <c r="S4" s="23" t="str" cm="1">
        <f t="array" ref="S4">СУММАПРОПИСЬЮ(P46)&amp;" руб. "&amp;TEXT((P46-INT(P46))*100,"00")&amp;" коп."</f>
        <v>сто сорок пять  руб. 69 коп.</v>
      </c>
    </row>
    <row r="5" spans="1:19" ht="15.75">
      <c r="A5" s="1"/>
      <c r="B5" s="1"/>
      <c r="C5" s="1"/>
      <c r="D5" s="1"/>
      <c r="E5" s="1"/>
      <c r="F5" s="1"/>
      <c r="G5" s="1"/>
      <c r="H5" s="1"/>
      <c r="I5" s="3" t="s">
        <v>2</v>
      </c>
      <c r="K5" s="1"/>
      <c r="L5" s="1"/>
      <c r="S5" s="23" t="str">
        <f>PROPER(LEFT(S4,1))</f>
        <v>С</v>
      </c>
    </row>
    <row r="6" spans="1:19">
      <c r="A6" s="1"/>
      <c r="B6" s="1"/>
      <c r="C6" s="1"/>
      <c r="D6" s="1"/>
      <c r="E6" s="1"/>
      <c r="F6" s="1"/>
      <c r="G6" s="1"/>
      <c r="H6" s="1"/>
      <c r="I6" s="104" t="str">
        <f>IF(F52=0,0,REPLACE(S4,1,1,S5))</f>
        <v>Сто сорок пять  руб. 69 коп.</v>
      </c>
      <c r="J6" s="104"/>
      <c r="K6" s="104"/>
      <c r="L6" s="104"/>
      <c r="M6" s="104"/>
      <c r="N6" s="104"/>
      <c r="O6" s="104"/>
      <c r="P6" s="104"/>
    </row>
    <row r="7" spans="1:19">
      <c r="A7" s="1"/>
      <c r="B7" s="1"/>
      <c r="C7" s="1"/>
      <c r="D7" s="1"/>
      <c r="E7" s="1"/>
      <c r="F7" s="1"/>
      <c r="G7" s="1"/>
      <c r="H7" s="1"/>
      <c r="I7" s="104"/>
      <c r="J7" s="104"/>
      <c r="K7" s="104"/>
      <c r="L7" s="104"/>
      <c r="M7" s="104"/>
      <c r="N7" s="104"/>
      <c r="O7" s="104"/>
      <c r="P7" s="104"/>
    </row>
    <row r="8" spans="1:19" ht="19.5" customHeight="1">
      <c r="A8" s="1"/>
      <c r="B8" s="1"/>
      <c r="C8" s="1"/>
      <c r="D8" s="1"/>
      <c r="E8" s="1"/>
      <c r="F8" s="1"/>
      <c r="G8" s="1"/>
      <c r="H8" s="1"/>
      <c r="I8" s="97" t="s">
        <v>52</v>
      </c>
      <c r="J8" s="97"/>
      <c r="K8" s="97"/>
      <c r="L8" s="97"/>
      <c r="M8" s="97"/>
      <c r="N8" s="97"/>
      <c r="O8" s="97"/>
      <c r="P8" s="97"/>
    </row>
    <row r="9" spans="1:19" ht="12" customHeight="1">
      <c r="A9" s="1"/>
      <c r="B9" s="1"/>
      <c r="C9" s="1"/>
      <c r="D9" s="1"/>
      <c r="E9" s="1"/>
      <c r="F9" s="1"/>
      <c r="G9" s="1"/>
      <c r="H9" s="1"/>
      <c r="I9" s="35" t="s">
        <v>3</v>
      </c>
      <c r="J9" s="35"/>
      <c r="K9" s="35"/>
      <c r="L9" s="35"/>
      <c r="M9" s="35"/>
      <c r="N9" s="35"/>
      <c r="O9" s="35"/>
      <c r="P9" s="35"/>
    </row>
    <row r="10" spans="1:19" ht="23.25" customHeight="1">
      <c r="A10" s="1"/>
      <c r="B10" s="1"/>
      <c r="C10" s="1"/>
      <c r="D10" s="1"/>
      <c r="E10" s="1"/>
      <c r="F10" s="1"/>
      <c r="G10" s="1"/>
      <c r="H10" s="1"/>
      <c r="I10" s="105"/>
      <c r="J10" s="105"/>
      <c r="K10" s="105"/>
      <c r="L10" s="105"/>
      <c r="M10" s="1"/>
      <c r="N10" s="97" t="s">
        <v>53</v>
      </c>
      <c r="O10" s="97"/>
      <c r="P10" s="97"/>
      <c r="Q10" s="1"/>
    </row>
    <row r="11" spans="1:19" ht="23.25" customHeight="1">
      <c r="A11" s="1"/>
      <c r="B11" s="1"/>
      <c r="C11" s="1"/>
      <c r="D11" s="1"/>
      <c r="E11" s="1"/>
      <c r="F11" s="1"/>
      <c r="G11" s="1"/>
      <c r="H11" s="1"/>
      <c r="I11" s="110" t="s">
        <v>4</v>
      </c>
      <c r="J11" s="110"/>
      <c r="K11" s="110"/>
      <c r="L11" s="110"/>
      <c r="M11" s="5"/>
      <c r="N11" s="34" t="s">
        <v>5</v>
      </c>
      <c r="O11" s="34"/>
      <c r="P11" s="34"/>
    </row>
    <row r="12" spans="1:19" ht="18.75" customHeight="1">
      <c r="A12" s="1"/>
      <c r="B12" s="1"/>
      <c r="C12" s="1"/>
      <c r="D12" s="1"/>
      <c r="E12" s="1"/>
      <c r="F12" s="1"/>
      <c r="G12" s="1"/>
      <c r="H12" s="1"/>
      <c r="I12" s="6" t="s">
        <v>6</v>
      </c>
      <c r="J12" s="7">
        <f>F16</f>
        <v>1</v>
      </c>
      <c r="K12" s="6" t="s">
        <v>6</v>
      </c>
      <c r="L12" s="111" t="str">
        <f>H16</f>
        <v>января</v>
      </c>
      <c r="M12" s="111"/>
      <c r="N12" s="111"/>
      <c r="O12" s="8"/>
      <c r="P12" s="7">
        <f>L16</f>
        <v>2026</v>
      </c>
      <c r="Q12" s="4"/>
    </row>
    <row r="13" spans="1:19" ht="18.75" customHeight="1">
      <c r="A13" s="1"/>
      <c r="B13" s="1"/>
      <c r="C13" s="1"/>
      <c r="D13" s="1"/>
      <c r="E13" s="1"/>
      <c r="F13" s="1"/>
      <c r="G13" s="1"/>
      <c r="H13" s="1"/>
      <c r="I13" s="6"/>
      <c r="J13" s="8"/>
      <c r="K13" s="6"/>
      <c r="L13" s="8"/>
      <c r="M13" s="8"/>
      <c r="N13" s="8"/>
      <c r="O13" s="8"/>
      <c r="P13" s="8"/>
    </row>
    <row r="14" spans="1:19" ht="18.75" customHeight="1">
      <c r="A14" s="112" t="s">
        <v>7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</row>
    <row r="15" spans="1:19" ht="18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9" ht="15.75">
      <c r="A16" s="1"/>
      <c r="B16" s="1"/>
      <c r="C16" s="1"/>
      <c r="D16" s="9" t="s">
        <v>8</v>
      </c>
      <c r="E16" s="6" t="s">
        <v>6</v>
      </c>
      <c r="F16" s="25">
        <v>1</v>
      </c>
      <c r="G16" s="6" t="s">
        <v>6</v>
      </c>
      <c r="H16" s="113" t="s">
        <v>29</v>
      </c>
      <c r="I16" s="113"/>
      <c r="J16" s="113"/>
      <c r="K16" s="8"/>
      <c r="L16" s="26">
        <v>2026</v>
      </c>
      <c r="M16" s="1"/>
      <c r="R16" s="10"/>
    </row>
    <row r="17" spans="1:16" ht="25.5" customHeight="1"/>
    <row r="18" spans="1:16" ht="18.75">
      <c r="A18" s="114" t="s">
        <v>10</v>
      </c>
      <c r="B18" s="114"/>
      <c r="C18" s="114"/>
      <c r="D18" s="114"/>
      <c r="E18" s="97" t="s">
        <v>11</v>
      </c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</row>
    <row r="19" spans="1:16" ht="15.75">
      <c r="A19" s="3"/>
      <c r="B19" s="3"/>
      <c r="C19" s="3"/>
      <c r="D19" s="3"/>
      <c r="E19" s="33" t="s">
        <v>5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ht="20.25" customHeight="1">
      <c r="A20" s="98" t="s">
        <v>12</v>
      </c>
      <c r="B20" s="98"/>
      <c r="C20" s="98"/>
      <c r="D20" s="98"/>
      <c r="E20" s="97" t="s">
        <v>50</v>
      </c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</row>
    <row r="21" spans="1:16" ht="18" customHeight="1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1"/>
      <c r="N21" s="11"/>
      <c r="O21" s="11"/>
      <c r="P21" s="11"/>
    </row>
    <row r="22" spans="1:16" ht="16.5" customHeight="1">
      <c r="A22" s="98" t="s">
        <v>13</v>
      </c>
      <c r="B22" s="98"/>
      <c r="C22" s="98"/>
      <c r="D22" s="98"/>
      <c r="E22" s="99" t="s">
        <v>44</v>
      </c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</row>
    <row r="23" spans="1:16" ht="11.2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11"/>
      <c r="N23" s="11"/>
      <c r="O23" s="11"/>
      <c r="P23" s="11"/>
    </row>
    <row r="24" spans="1:16" ht="18.75" customHeight="1">
      <c r="A24" s="106" t="s">
        <v>14</v>
      </c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8"/>
      <c r="M24" s="109" t="s">
        <v>15</v>
      </c>
      <c r="N24" s="101"/>
      <c r="O24" s="101"/>
      <c r="P24" s="102"/>
    </row>
    <row r="25" spans="1:16" ht="18.75" customHeight="1">
      <c r="A25" s="84" t="s">
        <v>16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6"/>
      <c r="M25" s="100" t="s">
        <v>17</v>
      </c>
      <c r="N25" s="101"/>
      <c r="O25" s="101"/>
      <c r="P25" s="102"/>
    </row>
    <row r="26" spans="1:16" ht="18.75">
      <c r="A26" s="90">
        <v>46021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2"/>
      <c r="M26" s="93">
        <v>15</v>
      </c>
      <c r="N26" s="94"/>
      <c r="O26" s="94"/>
      <c r="P26" s="95"/>
    </row>
    <row r="27" spans="1:16" ht="18.75">
      <c r="A27" s="90">
        <v>46022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2"/>
      <c r="M27" s="93">
        <v>12</v>
      </c>
      <c r="N27" s="94"/>
      <c r="O27" s="94"/>
      <c r="P27" s="95"/>
    </row>
    <row r="28" spans="1:16" ht="18.75" customHeight="1">
      <c r="A28" s="96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2"/>
      <c r="M28" s="93"/>
      <c r="N28" s="94"/>
      <c r="O28" s="94"/>
      <c r="P28" s="95"/>
    </row>
    <row r="29" spans="1:16" ht="18.75" customHeight="1">
      <c r="A29" s="84" t="s">
        <v>18</v>
      </c>
      <c r="B29" s="85"/>
      <c r="C29" s="85"/>
      <c r="D29" s="85"/>
      <c r="E29" s="85"/>
      <c r="F29" s="85"/>
      <c r="G29" s="85"/>
      <c r="H29" s="85"/>
      <c r="I29" s="85"/>
      <c r="J29" s="85"/>
      <c r="K29" s="85">
        <f>K26+K27+K28</f>
        <v>0</v>
      </c>
      <c r="L29" s="86"/>
      <c r="M29" s="87">
        <f>M26+M27+M28</f>
        <v>27</v>
      </c>
      <c r="N29" s="88"/>
      <c r="O29" s="88"/>
      <c r="P29" s="89"/>
    </row>
    <row r="30" spans="1:16" ht="18.75" customHeight="1">
      <c r="A30" s="84" t="s">
        <v>19</v>
      </c>
      <c r="B30" s="85"/>
      <c r="C30" s="85"/>
      <c r="D30" s="85"/>
      <c r="E30" s="85"/>
      <c r="F30" s="85"/>
      <c r="G30" s="85"/>
      <c r="H30" s="85"/>
      <c r="I30" s="85"/>
      <c r="J30" s="85"/>
      <c r="K30" s="85">
        <f>P46</f>
        <v>145.69</v>
      </c>
      <c r="L30" s="86"/>
      <c r="M30" s="87">
        <f>P46</f>
        <v>145.69</v>
      </c>
      <c r="N30" s="88"/>
      <c r="O30" s="88"/>
      <c r="P30" s="89"/>
    </row>
    <row r="31" spans="1:16" ht="18.75" customHeight="1">
      <c r="A31" s="84" t="s">
        <v>43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6"/>
      <c r="M31" s="87">
        <f>M29-M30</f>
        <v>-118.69</v>
      </c>
      <c r="N31" s="88"/>
      <c r="O31" s="88"/>
      <c r="P31" s="89"/>
    </row>
    <row r="32" spans="1:16" ht="15.75" customHeight="1" thickBo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</row>
    <row r="33" spans="1:16" ht="17.25" customHeight="1">
      <c r="A33" s="61" t="s">
        <v>20</v>
      </c>
      <c r="B33" s="62"/>
      <c r="C33" s="62"/>
      <c r="D33" s="62"/>
      <c r="E33" s="62"/>
      <c r="F33" s="62"/>
      <c r="G33" s="63"/>
      <c r="H33" s="67" t="s">
        <v>28</v>
      </c>
      <c r="I33" s="68"/>
      <c r="J33" s="68"/>
      <c r="K33" s="68"/>
      <c r="L33" s="68"/>
      <c r="M33" s="68"/>
      <c r="N33" s="68"/>
      <c r="O33" s="69"/>
      <c r="P33" s="76" t="s">
        <v>15</v>
      </c>
    </row>
    <row r="34" spans="1:16" ht="35.25" customHeight="1">
      <c r="A34" s="64"/>
      <c r="B34" s="65"/>
      <c r="C34" s="65"/>
      <c r="D34" s="65"/>
      <c r="E34" s="65"/>
      <c r="F34" s="65"/>
      <c r="G34" s="66"/>
      <c r="H34" s="70"/>
      <c r="I34" s="71"/>
      <c r="J34" s="71"/>
      <c r="K34" s="71"/>
      <c r="L34" s="71"/>
      <c r="M34" s="71"/>
      <c r="N34" s="71"/>
      <c r="O34" s="72"/>
      <c r="P34" s="77"/>
    </row>
    <row r="35" spans="1:16" ht="30.75" customHeight="1">
      <c r="A35" s="79" t="s">
        <v>21</v>
      </c>
      <c r="B35" s="80"/>
      <c r="C35" s="81" t="s">
        <v>40</v>
      </c>
      <c r="D35" s="82"/>
      <c r="E35" s="81" t="s">
        <v>22</v>
      </c>
      <c r="F35" s="83"/>
      <c r="G35" s="82"/>
      <c r="H35" s="73"/>
      <c r="I35" s="74"/>
      <c r="J35" s="74"/>
      <c r="K35" s="74"/>
      <c r="L35" s="74"/>
      <c r="M35" s="74"/>
      <c r="N35" s="74"/>
      <c r="O35" s="75"/>
      <c r="P35" s="78"/>
    </row>
    <row r="36" spans="1:16" ht="30" customHeight="1">
      <c r="A36" s="51" t="s">
        <v>41</v>
      </c>
      <c r="B36" s="52"/>
      <c r="C36" s="60" t="s">
        <v>23</v>
      </c>
      <c r="D36" s="52"/>
      <c r="E36" s="53" t="s">
        <v>42</v>
      </c>
      <c r="F36" s="55"/>
      <c r="G36" s="54"/>
      <c r="H36" s="56" t="s">
        <v>51</v>
      </c>
      <c r="I36" s="57"/>
      <c r="J36" s="57"/>
      <c r="K36" s="57"/>
      <c r="L36" s="57"/>
      <c r="M36" s="57"/>
      <c r="N36" s="57"/>
      <c r="O36" s="58"/>
      <c r="P36" s="13">
        <v>145.69</v>
      </c>
    </row>
    <row r="37" spans="1:16" ht="30" customHeight="1">
      <c r="A37" s="59"/>
      <c r="B37" s="54"/>
      <c r="C37" s="53"/>
      <c r="D37" s="54"/>
      <c r="E37" s="53"/>
      <c r="F37" s="55"/>
      <c r="G37" s="54"/>
      <c r="H37" s="56"/>
      <c r="I37" s="57"/>
      <c r="J37" s="57"/>
      <c r="K37" s="57"/>
      <c r="L37" s="57"/>
      <c r="M37" s="57"/>
      <c r="N37" s="57"/>
      <c r="O37" s="58"/>
      <c r="P37" s="13"/>
    </row>
    <row r="38" spans="1:16" ht="30" customHeight="1">
      <c r="A38" s="59"/>
      <c r="B38" s="54"/>
      <c r="C38" s="53"/>
      <c r="D38" s="54"/>
      <c r="E38" s="53"/>
      <c r="F38" s="55"/>
      <c r="G38" s="54"/>
      <c r="H38" s="56"/>
      <c r="I38" s="57"/>
      <c r="J38" s="57"/>
      <c r="K38" s="57"/>
      <c r="L38" s="57"/>
      <c r="M38" s="57"/>
      <c r="N38" s="57"/>
      <c r="O38" s="58"/>
      <c r="P38" s="13"/>
    </row>
    <row r="39" spans="1:16" ht="30" customHeight="1">
      <c r="A39" s="59"/>
      <c r="B39" s="54"/>
      <c r="C39" s="53"/>
      <c r="D39" s="54"/>
      <c r="E39" s="53"/>
      <c r="F39" s="55"/>
      <c r="G39" s="54"/>
      <c r="H39" s="56"/>
      <c r="I39" s="57"/>
      <c r="J39" s="57"/>
      <c r="K39" s="57"/>
      <c r="L39" s="57"/>
      <c r="M39" s="57"/>
      <c r="N39" s="57"/>
      <c r="O39" s="58"/>
      <c r="P39" s="13"/>
    </row>
    <row r="40" spans="1:16" ht="30" customHeight="1">
      <c r="A40" s="59"/>
      <c r="B40" s="54"/>
      <c r="C40" s="53"/>
      <c r="D40" s="54"/>
      <c r="E40" s="53"/>
      <c r="F40" s="55"/>
      <c r="G40" s="54"/>
      <c r="H40" s="56"/>
      <c r="I40" s="57"/>
      <c r="J40" s="57"/>
      <c r="K40" s="57"/>
      <c r="L40" s="57"/>
      <c r="M40" s="57"/>
      <c r="N40" s="57"/>
      <c r="O40" s="58"/>
      <c r="P40" s="13"/>
    </row>
    <row r="41" spans="1:16" ht="30" customHeight="1">
      <c r="A41" s="51"/>
      <c r="B41" s="52"/>
      <c r="C41" s="53"/>
      <c r="D41" s="54"/>
      <c r="E41" s="53"/>
      <c r="F41" s="55"/>
      <c r="G41" s="54"/>
      <c r="H41" s="56"/>
      <c r="I41" s="57"/>
      <c r="J41" s="57"/>
      <c r="K41" s="57"/>
      <c r="L41" s="57"/>
      <c r="M41" s="57"/>
      <c r="N41" s="57"/>
      <c r="O41" s="58"/>
      <c r="P41" s="13"/>
    </row>
    <row r="42" spans="1:16" ht="30" customHeight="1">
      <c r="A42" s="51"/>
      <c r="B42" s="52"/>
      <c r="C42" s="53"/>
      <c r="D42" s="54"/>
      <c r="E42" s="53"/>
      <c r="F42" s="55"/>
      <c r="G42" s="54"/>
      <c r="H42" s="56"/>
      <c r="I42" s="57"/>
      <c r="J42" s="57"/>
      <c r="K42" s="57"/>
      <c r="L42" s="57"/>
      <c r="M42" s="57"/>
      <c r="N42" s="57"/>
      <c r="O42" s="58"/>
      <c r="P42" s="13"/>
    </row>
    <row r="43" spans="1:16" ht="30" customHeight="1">
      <c r="A43" s="51"/>
      <c r="B43" s="52"/>
      <c r="C43" s="53"/>
      <c r="D43" s="54"/>
      <c r="E43" s="53"/>
      <c r="F43" s="55"/>
      <c r="G43" s="54"/>
      <c r="H43" s="56"/>
      <c r="I43" s="57"/>
      <c r="J43" s="57"/>
      <c r="K43" s="57"/>
      <c r="L43" s="57"/>
      <c r="M43" s="57"/>
      <c r="N43" s="57"/>
      <c r="O43" s="58"/>
      <c r="P43" s="13"/>
    </row>
    <row r="44" spans="1:16" ht="30" customHeight="1">
      <c r="A44" s="51"/>
      <c r="B44" s="52"/>
      <c r="C44" s="53"/>
      <c r="D44" s="54"/>
      <c r="E44" s="53"/>
      <c r="F44" s="55"/>
      <c r="G44" s="54"/>
      <c r="H44" s="56"/>
      <c r="I44" s="57"/>
      <c r="J44" s="57"/>
      <c r="K44" s="57"/>
      <c r="L44" s="57"/>
      <c r="M44" s="57"/>
      <c r="N44" s="57"/>
      <c r="O44" s="58"/>
      <c r="P44" s="13"/>
    </row>
    <row r="45" spans="1:16" ht="30" customHeight="1">
      <c r="A45" s="51"/>
      <c r="B45" s="52"/>
      <c r="C45" s="53"/>
      <c r="D45" s="54"/>
      <c r="E45" s="53"/>
      <c r="F45" s="55"/>
      <c r="G45" s="54"/>
      <c r="H45" s="56"/>
      <c r="I45" s="57"/>
      <c r="J45" s="57"/>
      <c r="K45" s="57"/>
      <c r="L45" s="57"/>
      <c r="M45" s="57"/>
      <c r="N45" s="57"/>
      <c r="O45" s="58"/>
      <c r="P45" s="13"/>
    </row>
    <row r="46" spans="1:16" ht="16.5" thickBot="1">
      <c r="A46" s="41" t="s">
        <v>24</v>
      </c>
      <c r="B46" s="42"/>
      <c r="C46" s="43"/>
      <c r="D46" s="44"/>
      <c r="E46" s="43"/>
      <c r="F46" s="45"/>
      <c r="G46" s="44"/>
      <c r="H46" s="46"/>
      <c r="I46" s="47"/>
      <c r="J46" s="47"/>
      <c r="K46" s="47"/>
      <c r="L46" s="47"/>
      <c r="M46" s="47"/>
      <c r="N46" s="47"/>
      <c r="O46" s="48"/>
      <c r="P46" s="30">
        <f>SUM(L36:P45)</f>
        <v>145.69</v>
      </c>
    </row>
    <row r="47" spans="1:16" ht="15.75">
      <c r="A47" s="14"/>
      <c r="B47" s="14"/>
      <c r="C47" s="15"/>
      <c r="D47" s="15"/>
      <c r="E47" s="15"/>
      <c r="F47" s="15"/>
      <c r="G47" s="15"/>
      <c r="H47" s="16"/>
      <c r="I47" s="16"/>
      <c r="J47" s="16"/>
      <c r="K47" s="16"/>
      <c r="L47" s="17"/>
      <c r="M47" s="17"/>
      <c r="N47" s="17"/>
      <c r="O47" s="17"/>
      <c r="P47" s="17"/>
    </row>
    <row r="48" spans="1:16" ht="15.75">
      <c r="A48" s="3"/>
      <c r="B48" s="3"/>
      <c r="C48" s="3"/>
      <c r="D48" s="18"/>
      <c r="E48" s="18"/>
      <c r="F48" s="18"/>
      <c r="G48" s="18"/>
      <c r="H48" s="18"/>
      <c r="I48" s="18"/>
      <c r="J48" s="18"/>
      <c r="K48" s="3"/>
      <c r="L48" s="3"/>
    </row>
    <row r="49" spans="1:16" ht="15.75">
      <c r="A49" s="38" t="s">
        <v>10</v>
      </c>
      <c r="B49" s="38"/>
      <c r="C49" s="38"/>
      <c r="D49" s="49"/>
      <c r="E49" s="49"/>
      <c r="F49" s="49"/>
      <c r="G49" s="49"/>
      <c r="H49" s="49"/>
      <c r="I49" s="49"/>
      <c r="J49" s="19"/>
      <c r="K49" s="50" t="str">
        <f>E18</f>
        <v>Иванов Иван Иванович</v>
      </c>
      <c r="L49" s="50"/>
      <c r="M49" s="50"/>
      <c r="N49" s="50"/>
      <c r="O49" s="50"/>
      <c r="P49" s="50"/>
    </row>
    <row r="50" spans="1:16" ht="15.75">
      <c r="A50" s="3"/>
      <c r="B50" s="3"/>
      <c r="C50" s="3"/>
      <c r="D50" s="33" t="s">
        <v>4</v>
      </c>
      <c r="E50" s="33"/>
      <c r="F50" s="33"/>
      <c r="G50" s="33"/>
      <c r="H50" s="33"/>
      <c r="I50" s="33"/>
      <c r="J50" s="20"/>
      <c r="K50" s="35" t="s">
        <v>25</v>
      </c>
      <c r="L50" s="35"/>
      <c r="M50" s="35"/>
      <c r="N50" s="35"/>
      <c r="O50" s="35"/>
      <c r="P50" s="35"/>
    </row>
    <row r="51" spans="1:16" ht="24" customHeight="1">
      <c r="A51" s="3"/>
      <c r="B51" s="3"/>
      <c r="C51" s="3"/>
      <c r="D51" s="3"/>
      <c r="E51" s="3"/>
      <c r="F51" s="21"/>
      <c r="G51" s="21"/>
      <c r="H51" s="21"/>
      <c r="I51" s="21"/>
      <c r="J51" s="21"/>
      <c r="K51" s="21"/>
      <c r="L51" s="21"/>
    </row>
    <row r="52" spans="1:16" ht="38.25" customHeight="1">
      <c r="A52" s="36" t="s">
        <v>26</v>
      </c>
      <c r="B52" s="36"/>
      <c r="C52" s="36"/>
      <c r="D52" s="36"/>
      <c r="E52" s="27"/>
      <c r="F52" s="31">
        <f>P46</f>
        <v>145.69</v>
      </c>
      <c r="G52" s="37" t="s">
        <v>46</v>
      </c>
      <c r="H52" s="37"/>
      <c r="I52" s="27"/>
      <c r="J52" s="27"/>
      <c r="K52" s="27"/>
      <c r="L52" s="27"/>
      <c r="M52" s="27"/>
      <c r="N52" s="27"/>
      <c r="O52" s="27"/>
      <c r="P52" s="27"/>
    </row>
    <row r="53" spans="1:16" ht="24.75" customHeight="1">
      <c r="A53" s="38" t="s">
        <v>27</v>
      </c>
      <c r="B53" s="38"/>
      <c r="C53" s="38"/>
      <c r="D53" s="39"/>
      <c r="E53" s="39"/>
      <c r="F53" s="39"/>
      <c r="G53" s="39"/>
      <c r="H53" s="39"/>
      <c r="I53" s="39"/>
      <c r="J53" s="3"/>
      <c r="K53" s="40"/>
      <c r="L53" s="40"/>
      <c r="M53" s="40"/>
      <c r="N53" s="40"/>
      <c r="O53" s="40"/>
      <c r="P53" s="40"/>
    </row>
    <row r="54" spans="1:16">
      <c r="A54" s="22"/>
      <c r="B54" s="22"/>
      <c r="C54" s="22"/>
      <c r="D54" s="33" t="s">
        <v>4</v>
      </c>
      <c r="E54" s="33"/>
      <c r="F54" s="33"/>
      <c r="G54" s="33"/>
      <c r="H54" s="33"/>
      <c r="I54" s="33"/>
      <c r="J54" s="22"/>
      <c r="K54" s="34" t="s">
        <v>25</v>
      </c>
      <c r="L54" s="34"/>
      <c r="M54" s="34"/>
      <c r="N54" s="34"/>
      <c r="O54" s="34"/>
      <c r="P54" s="34"/>
    </row>
  </sheetData>
  <mergeCells count="96">
    <mergeCell ref="A25:L25"/>
    <mergeCell ref="M25:P25"/>
    <mergeCell ref="A4:D4"/>
    <mergeCell ref="I6:P7"/>
    <mergeCell ref="I8:P8"/>
    <mergeCell ref="I9:P9"/>
    <mergeCell ref="I10:L10"/>
    <mergeCell ref="N10:P10"/>
    <mergeCell ref="A24:L24"/>
    <mergeCell ref="M24:P24"/>
    <mergeCell ref="I11:L11"/>
    <mergeCell ref="N11:P11"/>
    <mergeCell ref="L12:N12"/>
    <mergeCell ref="A14:P14"/>
    <mergeCell ref="H16:J16"/>
    <mergeCell ref="A18:D18"/>
    <mergeCell ref="E18:P18"/>
    <mergeCell ref="E19:P19"/>
    <mergeCell ref="A20:D20"/>
    <mergeCell ref="E20:P20"/>
    <mergeCell ref="A22:D22"/>
    <mergeCell ref="E22:P22"/>
    <mergeCell ref="A26:L26"/>
    <mergeCell ref="M26:P26"/>
    <mergeCell ref="A27:L27"/>
    <mergeCell ref="M27:P27"/>
    <mergeCell ref="A28:L28"/>
    <mergeCell ref="M28:P28"/>
    <mergeCell ref="A29:L29"/>
    <mergeCell ref="M29:P29"/>
    <mergeCell ref="A30:L30"/>
    <mergeCell ref="M30:P30"/>
    <mergeCell ref="A31:L31"/>
    <mergeCell ref="M31:P31"/>
    <mergeCell ref="A33:G34"/>
    <mergeCell ref="H33:O35"/>
    <mergeCell ref="P33:P35"/>
    <mergeCell ref="A35:B35"/>
    <mergeCell ref="C35:D35"/>
    <mergeCell ref="E35:G35"/>
    <mergeCell ref="A36:B36"/>
    <mergeCell ref="C36:D36"/>
    <mergeCell ref="E36:G36"/>
    <mergeCell ref="H36:O36"/>
    <mergeCell ref="A37:B37"/>
    <mergeCell ref="C37:D37"/>
    <mergeCell ref="E37:G37"/>
    <mergeCell ref="H37:O37"/>
    <mergeCell ref="A38:B38"/>
    <mergeCell ref="C38:D38"/>
    <mergeCell ref="E38:G38"/>
    <mergeCell ref="H38:O38"/>
    <mergeCell ref="A39:B39"/>
    <mergeCell ref="C39:D39"/>
    <mergeCell ref="E39:G39"/>
    <mergeCell ref="H39:O39"/>
    <mergeCell ref="A40:B40"/>
    <mergeCell ref="C40:D40"/>
    <mergeCell ref="E40:G40"/>
    <mergeCell ref="H40:O40"/>
    <mergeCell ref="A41:B41"/>
    <mergeCell ref="C41:D41"/>
    <mergeCell ref="E41:G41"/>
    <mergeCell ref="H41:O41"/>
    <mergeCell ref="A42:B42"/>
    <mergeCell ref="C42:D42"/>
    <mergeCell ref="E42:G42"/>
    <mergeCell ref="H42:O42"/>
    <mergeCell ref="A43:B43"/>
    <mergeCell ref="C43:D43"/>
    <mergeCell ref="E43:G43"/>
    <mergeCell ref="H43:O43"/>
    <mergeCell ref="A44:B44"/>
    <mergeCell ref="C44:D44"/>
    <mergeCell ref="E44:G44"/>
    <mergeCell ref="H44:O44"/>
    <mergeCell ref="A45:B45"/>
    <mergeCell ref="C45:D45"/>
    <mergeCell ref="E45:G45"/>
    <mergeCell ref="H45:O45"/>
    <mergeCell ref="A46:B46"/>
    <mergeCell ref="C46:D46"/>
    <mergeCell ref="E46:G46"/>
    <mergeCell ref="H46:O46"/>
    <mergeCell ref="A49:C49"/>
    <mergeCell ref="D49:I49"/>
    <mergeCell ref="K49:P49"/>
    <mergeCell ref="D54:I54"/>
    <mergeCell ref="K54:P54"/>
    <mergeCell ref="D50:I50"/>
    <mergeCell ref="K50:P50"/>
    <mergeCell ref="A52:D52"/>
    <mergeCell ref="G52:H52"/>
    <mergeCell ref="A53:C53"/>
    <mergeCell ref="D53:I53"/>
    <mergeCell ref="K53:P53"/>
  </mergeCells>
  <pageMargins left="0.70866141732283472" right="0" top="0" bottom="0" header="0.31496062992125984" footer="0.31496062992125984"/>
  <pageSetup paperSize="9" scale="73" orientation="portrait" r:id="rId1"/>
  <colBreaks count="1" manualBreakCount="1">
    <brk id="16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97BC0AC-B945-4DAE-AE25-A0AD8D545FC4}">
          <x14:formula1>
            <xm:f>Лист2!$C$1:$C$31</xm:f>
          </x14:formula1>
          <xm:sqref>F16</xm:sqref>
        </x14:dataValidation>
        <x14:dataValidation type="list" allowBlank="1" showInputMessage="1" showErrorMessage="1" xr:uid="{BFCDC656-CC55-49BB-988D-E57A48C94EDA}">
          <x14:formula1>
            <xm:f>Лист2!$B$1:$B$6</xm:f>
          </x14:formula1>
          <xm:sqref>L16</xm:sqref>
        </x14:dataValidation>
        <x14:dataValidation type="list" allowBlank="1" showInputMessage="1" showErrorMessage="1" xr:uid="{6ABE5E37-3C3D-4BB4-9C58-44B15EDE7E94}">
          <x14:formula1>
            <xm:f>Лист2!$A$1:$A$12</xm:f>
          </x14:formula1>
          <xm:sqref>H16:J16</xm:sqref>
        </x14:dataValidation>
        <x14:dataValidation type="list" allowBlank="1" showInputMessage="1" showErrorMessage="1" xr:uid="{DAE8C858-1160-4E02-B8F9-E09E45E3D877}">
          <x14:formula1>
            <xm:f>Лист2!$D$1:$D$2</xm:f>
          </x14:formula1>
          <xm:sqref>E22:P22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4D9FB-DD6C-4F30-83C9-5FDD3149B295}">
  <sheetPr codeName="Лист5">
    <pageSetUpPr fitToPage="1"/>
  </sheetPr>
  <dimension ref="A1:S54"/>
  <sheetViews>
    <sheetView tabSelected="1" topLeftCell="A34" zoomScaleNormal="100" workbookViewId="0">
      <selection activeCell="H39" sqref="H39:O39"/>
    </sheetView>
  </sheetViews>
  <sheetFormatPr defaultRowHeight="14.25"/>
  <cols>
    <col min="2" max="2" width="8.125" customWidth="1"/>
    <col min="4" max="4" width="17" customWidth="1"/>
    <col min="5" max="5" width="1.75" customWidth="1"/>
    <col min="7" max="7" width="5" customWidth="1"/>
    <col min="9" max="9" width="1.375" customWidth="1"/>
    <col min="10" max="10" width="9.75" customWidth="1"/>
    <col min="11" max="11" width="1.75" customWidth="1"/>
    <col min="12" max="12" width="9.625" customWidth="1"/>
    <col min="13" max="13" width="5.25" customWidth="1"/>
    <col min="15" max="15" width="2" customWidth="1"/>
    <col min="16" max="16" width="21.125" customWidth="1"/>
    <col min="258" max="258" width="12.375" customWidth="1"/>
    <col min="260" max="260" width="13" customWidth="1"/>
    <col min="261" max="261" width="1.75" customWidth="1"/>
    <col min="263" max="263" width="2.125" customWidth="1"/>
    <col min="265" max="265" width="1.375" customWidth="1"/>
    <col min="266" max="266" width="9.75" customWidth="1"/>
    <col min="267" max="267" width="1.75" customWidth="1"/>
    <col min="268" max="268" width="9.625" customWidth="1"/>
    <col min="269" max="269" width="5.25" customWidth="1"/>
    <col min="271" max="271" width="2" customWidth="1"/>
    <col min="272" max="272" width="21.125" customWidth="1"/>
    <col min="514" max="514" width="12.375" customWidth="1"/>
    <col min="516" max="516" width="13" customWidth="1"/>
    <col min="517" max="517" width="1.75" customWidth="1"/>
    <col min="519" max="519" width="2.125" customWidth="1"/>
    <col min="521" max="521" width="1.375" customWidth="1"/>
    <col min="522" max="522" width="9.75" customWidth="1"/>
    <col min="523" max="523" width="1.75" customWidth="1"/>
    <col min="524" max="524" width="9.625" customWidth="1"/>
    <col min="525" max="525" width="5.25" customWidth="1"/>
    <col min="527" max="527" width="2" customWidth="1"/>
    <col min="528" max="528" width="21.125" customWidth="1"/>
    <col min="770" max="770" width="12.375" customWidth="1"/>
    <col min="772" max="772" width="13" customWidth="1"/>
    <col min="773" max="773" width="1.75" customWidth="1"/>
    <col min="775" max="775" width="2.125" customWidth="1"/>
    <col min="777" max="777" width="1.375" customWidth="1"/>
    <col min="778" max="778" width="9.75" customWidth="1"/>
    <col min="779" max="779" width="1.75" customWidth="1"/>
    <col min="780" max="780" width="9.625" customWidth="1"/>
    <col min="781" max="781" width="5.25" customWidth="1"/>
    <col min="783" max="783" width="2" customWidth="1"/>
    <col min="784" max="784" width="21.125" customWidth="1"/>
    <col min="1026" max="1026" width="12.375" customWidth="1"/>
    <col min="1028" max="1028" width="13" customWidth="1"/>
    <col min="1029" max="1029" width="1.75" customWidth="1"/>
    <col min="1031" max="1031" width="2.125" customWidth="1"/>
    <col min="1033" max="1033" width="1.375" customWidth="1"/>
    <col min="1034" max="1034" width="9.75" customWidth="1"/>
    <col min="1035" max="1035" width="1.75" customWidth="1"/>
    <col min="1036" max="1036" width="9.625" customWidth="1"/>
    <col min="1037" max="1037" width="5.25" customWidth="1"/>
    <col min="1039" max="1039" width="2" customWidth="1"/>
    <col min="1040" max="1040" width="21.125" customWidth="1"/>
    <col min="1282" max="1282" width="12.375" customWidth="1"/>
    <col min="1284" max="1284" width="13" customWidth="1"/>
    <col min="1285" max="1285" width="1.75" customWidth="1"/>
    <col min="1287" max="1287" width="2.125" customWidth="1"/>
    <col min="1289" max="1289" width="1.375" customWidth="1"/>
    <col min="1290" max="1290" width="9.75" customWidth="1"/>
    <col min="1291" max="1291" width="1.75" customWidth="1"/>
    <col min="1292" max="1292" width="9.625" customWidth="1"/>
    <col min="1293" max="1293" width="5.25" customWidth="1"/>
    <col min="1295" max="1295" width="2" customWidth="1"/>
    <col min="1296" max="1296" width="21.125" customWidth="1"/>
    <col min="1538" max="1538" width="12.375" customWidth="1"/>
    <col min="1540" max="1540" width="13" customWidth="1"/>
    <col min="1541" max="1541" width="1.75" customWidth="1"/>
    <col min="1543" max="1543" width="2.125" customWidth="1"/>
    <col min="1545" max="1545" width="1.375" customWidth="1"/>
    <col min="1546" max="1546" width="9.75" customWidth="1"/>
    <col min="1547" max="1547" width="1.75" customWidth="1"/>
    <col min="1548" max="1548" width="9.625" customWidth="1"/>
    <col min="1549" max="1549" width="5.25" customWidth="1"/>
    <col min="1551" max="1551" width="2" customWidth="1"/>
    <col min="1552" max="1552" width="21.125" customWidth="1"/>
    <col min="1794" max="1794" width="12.375" customWidth="1"/>
    <col min="1796" max="1796" width="13" customWidth="1"/>
    <col min="1797" max="1797" width="1.75" customWidth="1"/>
    <col min="1799" max="1799" width="2.125" customWidth="1"/>
    <col min="1801" max="1801" width="1.375" customWidth="1"/>
    <col min="1802" max="1802" width="9.75" customWidth="1"/>
    <col min="1803" max="1803" width="1.75" customWidth="1"/>
    <col min="1804" max="1804" width="9.625" customWidth="1"/>
    <col min="1805" max="1805" width="5.25" customWidth="1"/>
    <col min="1807" max="1807" width="2" customWidth="1"/>
    <col min="1808" max="1808" width="21.125" customWidth="1"/>
    <col min="2050" max="2050" width="12.375" customWidth="1"/>
    <col min="2052" max="2052" width="13" customWidth="1"/>
    <col min="2053" max="2053" width="1.75" customWidth="1"/>
    <col min="2055" max="2055" width="2.125" customWidth="1"/>
    <col min="2057" max="2057" width="1.375" customWidth="1"/>
    <col min="2058" max="2058" width="9.75" customWidth="1"/>
    <col min="2059" max="2059" width="1.75" customWidth="1"/>
    <col min="2060" max="2060" width="9.625" customWidth="1"/>
    <col min="2061" max="2061" width="5.25" customWidth="1"/>
    <col min="2063" max="2063" width="2" customWidth="1"/>
    <col min="2064" max="2064" width="21.125" customWidth="1"/>
    <col min="2306" max="2306" width="12.375" customWidth="1"/>
    <col min="2308" max="2308" width="13" customWidth="1"/>
    <col min="2309" max="2309" width="1.75" customWidth="1"/>
    <col min="2311" max="2311" width="2.125" customWidth="1"/>
    <col min="2313" max="2313" width="1.375" customWidth="1"/>
    <col min="2314" max="2314" width="9.75" customWidth="1"/>
    <col min="2315" max="2315" width="1.75" customWidth="1"/>
    <col min="2316" max="2316" width="9.625" customWidth="1"/>
    <col min="2317" max="2317" width="5.25" customWidth="1"/>
    <col min="2319" max="2319" width="2" customWidth="1"/>
    <col min="2320" max="2320" width="21.125" customWidth="1"/>
    <col min="2562" max="2562" width="12.375" customWidth="1"/>
    <col min="2564" max="2564" width="13" customWidth="1"/>
    <col min="2565" max="2565" width="1.75" customWidth="1"/>
    <col min="2567" max="2567" width="2.125" customWidth="1"/>
    <col min="2569" max="2569" width="1.375" customWidth="1"/>
    <col min="2570" max="2570" width="9.75" customWidth="1"/>
    <col min="2571" max="2571" width="1.75" customWidth="1"/>
    <col min="2572" max="2572" width="9.625" customWidth="1"/>
    <col min="2573" max="2573" width="5.25" customWidth="1"/>
    <col min="2575" max="2575" width="2" customWidth="1"/>
    <col min="2576" max="2576" width="21.125" customWidth="1"/>
    <col min="2818" max="2818" width="12.375" customWidth="1"/>
    <col min="2820" max="2820" width="13" customWidth="1"/>
    <col min="2821" max="2821" width="1.75" customWidth="1"/>
    <col min="2823" max="2823" width="2.125" customWidth="1"/>
    <col min="2825" max="2825" width="1.375" customWidth="1"/>
    <col min="2826" max="2826" width="9.75" customWidth="1"/>
    <col min="2827" max="2827" width="1.75" customWidth="1"/>
    <col min="2828" max="2828" width="9.625" customWidth="1"/>
    <col min="2829" max="2829" width="5.25" customWidth="1"/>
    <col min="2831" max="2831" width="2" customWidth="1"/>
    <col min="2832" max="2832" width="21.125" customWidth="1"/>
    <col min="3074" max="3074" width="12.375" customWidth="1"/>
    <col min="3076" max="3076" width="13" customWidth="1"/>
    <col min="3077" max="3077" width="1.75" customWidth="1"/>
    <col min="3079" max="3079" width="2.125" customWidth="1"/>
    <col min="3081" max="3081" width="1.375" customWidth="1"/>
    <col min="3082" max="3082" width="9.75" customWidth="1"/>
    <col min="3083" max="3083" width="1.75" customWidth="1"/>
    <col min="3084" max="3084" width="9.625" customWidth="1"/>
    <col min="3085" max="3085" width="5.25" customWidth="1"/>
    <col min="3087" max="3087" width="2" customWidth="1"/>
    <col min="3088" max="3088" width="21.125" customWidth="1"/>
    <col min="3330" max="3330" width="12.375" customWidth="1"/>
    <col min="3332" max="3332" width="13" customWidth="1"/>
    <col min="3333" max="3333" width="1.75" customWidth="1"/>
    <col min="3335" max="3335" width="2.125" customWidth="1"/>
    <col min="3337" max="3337" width="1.375" customWidth="1"/>
    <col min="3338" max="3338" width="9.75" customWidth="1"/>
    <col min="3339" max="3339" width="1.75" customWidth="1"/>
    <col min="3340" max="3340" width="9.625" customWidth="1"/>
    <col min="3341" max="3341" width="5.25" customWidth="1"/>
    <col min="3343" max="3343" width="2" customWidth="1"/>
    <col min="3344" max="3344" width="21.125" customWidth="1"/>
    <col min="3586" max="3586" width="12.375" customWidth="1"/>
    <col min="3588" max="3588" width="13" customWidth="1"/>
    <col min="3589" max="3589" width="1.75" customWidth="1"/>
    <col min="3591" max="3591" width="2.125" customWidth="1"/>
    <col min="3593" max="3593" width="1.375" customWidth="1"/>
    <col min="3594" max="3594" width="9.75" customWidth="1"/>
    <col min="3595" max="3595" width="1.75" customWidth="1"/>
    <col min="3596" max="3596" width="9.625" customWidth="1"/>
    <col min="3597" max="3597" width="5.25" customWidth="1"/>
    <col min="3599" max="3599" width="2" customWidth="1"/>
    <col min="3600" max="3600" width="21.125" customWidth="1"/>
    <col min="3842" max="3842" width="12.375" customWidth="1"/>
    <col min="3844" max="3844" width="13" customWidth="1"/>
    <col min="3845" max="3845" width="1.75" customWidth="1"/>
    <col min="3847" max="3847" width="2.125" customWidth="1"/>
    <col min="3849" max="3849" width="1.375" customWidth="1"/>
    <col min="3850" max="3850" width="9.75" customWidth="1"/>
    <col min="3851" max="3851" width="1.75" customWidth="1"/>
    <col min="3852" max="3852" width="9.625" customWidth="1"/>
    <col min="3853" max="3853" width="5.25" customWidth="1"/>
    <col min="3855" max="3855" width="2" customWidth="1"/>
    <col min="3856" max="3856" width="21.125" customWidth="1"/>
    <col min="4098" max="4098" width="12.375" customWidth="1"/>
    <col min="4100" max="4100" width="13" customWidth="1"/>
    <col min="4101" max="4101" width="1.75" customWidth="1"/>
    <col min="4103" max="4103" width="2.125" customWidth="1"/>
    <col min="4105" max="4105" width="1.375" customWidth="1"/>
    <col min="4106" max="4106" width="9.75" customWidth="1"/>
    <col min="4107" max="4107" width="1.75" customWidth="1"/>
    <col min="4108" max="4108" width="9.625" customWidth="1"/>
    <col min="4109" max="4109" width="5.25" customWidth="1"/>
    <col min="4111" max="4111" width="2" customWidth="1"/>
    <col min="4112" max="4112" width="21.125" customWidth="1"/>
    <col min="4354" max="4354" width="12.375" customWidth="1"/>
    <col min="4356" max="4356" width="13" customWidth="1"/>
    <col min="4357" max="4357" width="1.75" customWidth="1"/>
    <col min="4359" max="4359" width="2.125" customWidth="1"/>
    <col min="4361" max="4361" width="1.375" customWidth="1"/>
    <col min="4362" max="4362" width="9.75" customWidth="1"/>
    <col min="4363" max="4363" width="1.75" customWidth="1"/>
    <col min="4364" max="4364" width="9.625" customWidth="1"/>
    <col min="4365" max="4365" width="5.25" customWidth="1"/>
    <col min="4367" max="4367" width="2" customWidth="1"/>
    <col min="4368" max="4368" width="21.125" customWidth="1"/>
    <col min="4610" max="4610" width="12.375" customWidth="1"/>
    <col min="4612" max="4612" width="13" customWidth="1"/>
    <col min="4613" max="4613" width="1.75" customWidth="1"/>
    <col min="4615" max="4615" width="2.125" customWidth="1"/>
    <col min="4617" max="4617" width="1.375" customWidth="1"/>
    <col min="4618" max="4618" width="9.75" customWidth="1"/>
    <col min="4619" max="4619" width="1.75" customWidth="1"/>
    <col min="4620" max="4620" width="9.625" customWidth="1"/>
    <col min="4621" max="4621" width="5.25" customWidth="1"/>
    <col min="4623" max="4623" width="2" customWidth="1"/>
    <col min="4624" max="4624" width="21.125" customWidth="1"/>
    <col min="4866" max="4866" width="12.375" customWidth="1"/>
    <col min="4868" max="4868" width="13" customWidth="1"/>
    <col min="4869" max="4869" width="1.75" customWidth="1"/>
    <col min="4871" max="4871" width="2.125" customWidth="1"/>
    <col min="4873" max="4873" width="1.375" customWidth="1"/>
    <col min="4874" max="4874" width="9.75" customWidth="1"/>
    <col min="4875" max="4875" width="1.75" customWidth="1"/>
    <col min="4876" max="4876" width="9.625" customWidth="1"/>
    <col min="4877" max="4877" width="5.25" customWidth="1"/>
    <col min="4879" max="4879" width="2" customWidth="1"/>
    <col min="4880" max="4880" width="21.125" customWidth="1"/>
    <col min="5122" max="5122" width="12.375" customWidth="1"/>
    <col min="5124" max="5124" width="13" customWidth="1"/>
    <col min="5125" max="5125" width="1.75" customWidth="1"/>
    <col min="5127" max="5127" width="2.125" customWidth="1"/>
    <col min="5129" max="5129" width="1.375" customWidth="1"/>
    <col min="5130" max="5130" width="9.75" customWidth="1"/>
    <col min="5131" max="5131" width="1.75" customWidth="1"/>
    <col min="5132" max="5132" width="9.625" customWidth="1"/>
    <col min="5133" max="5133" width="5.25" customWidth="1"/>
    <col min="5135" max="5135" width="2" customWidth="1"/>
    <col min="5136" max="5136" width="21.125" customWidth="1"/>
    <col min="5378" max="5378" width="12.375" customWidth="1"/>
    <col min="5380" max="5380" width="13" customWidth="1"/>
    <col min="5381" max="5381" width="1.75" customWidth="1"/>
    <col min="5383" max="5383" width="2.125" customWidth="1"/>
    <col min="5385" max="5385" width="1.375" customWidth="1"/>
    <col min="5386" max="5386" width="9.75" customWidth="1"/>
    <col min="5387" max="5387" width="1.75" customWidth="1"/>
    <col min="5388" max="5388" width="9.625" customWidth="1"/>
    <col min="5389" max="5389" width="5.25" customWidth="1"/>
    <col min="5391" max="5391" width="2" customWidth="1"/>
    <col min="5392" max="5392" width="21.125" customWidth="1"/>
    <col min="5634" max="5634" width="12.375" customWidth="1"/>
    <col min="5636" max="5636" width="13" customWidth="1"/>
    <col min="5637" max="5637" width="1.75" customWidth="1"/>
    <col min="5639" max="5639" width="2.125" customWidth="1"/>
    <col min="5641" max="5641" width="1.375" customWidth="1"/>
    <col min="5642" max="5642" width="9.75" customWidth="1"/>
    <col min="5643" max="5643" width="1.75" customWidth="1"/>
    <col min="5644" max="5644" width="9.625" customWidth="1"/>
    <col min="5645" max="5645" width="5.25" customWidth="1"/>
    <col min="5647" max="5647" width="2" customWidth="1"/>
    <col min="5648" max="5648" width="21.125" customWidth="1"/>
    <col min="5890" max="5890" width="12.375" customWidth="1"/>
    <col min="5892" max="5892" width="13" customWidth="1"/>
    <col min="5893" max="5893" width="1.75" customWidth="1"/>
    <col min="5895" max="5895" width="2.125" customWidth="1"/>
    <col min="5897" max="5897" width="1.375" customWidth="1"/>
    <col min="5898" max="5898" width="9.75" customWidth="1"/>
    <col min="5899" max="5899" width="1.75" customWidth="1"/>
    <col min="5900" max="5900" width="9.625" customWidth="1"/>
    <col min="5901" max="5901" width="5.25" customWidth="1"/>
    <col min="5903" max="5903" width="2" customWidth="1"/>
    <col min="5904" max="5904" width="21.125" customWidth="1"/>
    <col min="6146" max="6146" width="12.375" customWidth="1"/>
    <col min="6148" max="6148" width="13" customWidth="1"/>
    <col min="6149" max="6149" width="1.75" customWidth="1"/>
    <col min="6151" max="6151" width="2.125" customWidth="1"/>
    <col min="6153" max="6153" width="1.375" customWidth="1"/>
    <col min="6154" max="6154" width="9.75" customWidth="1"/>
    <col min="6155" max="6155" width="1.75" customWidth="1"/>
    <col min="6156" max="6156" width="9.625" customWidth="1"/>
    <col min="6157" max="6157" width="5.25" customWidth="1"/>
    <col min="6159" max="6159" width="2" customWidth="1"/>
    <col min="6160" max="6160" width="21.125" customWidth="1"/>
    <col min="6402" max="6402" width="12.375" customWidth="1"/>
    <col min="6404" max="6404" width="13" customWidth="1"/>
    <col min="6405" max="6405" width="1.75" customWidth="1"/>
    <col min="6407" max="6407" width="2.125" customWidth="1"/>
    <col min="6409" max="6409" width="1.375" customWidth="1"/>
    <col min="6410" max="6410" width="9.75" customWidth="1"/>
    <col min="6411" max="6411" width="1.75" customWidth="1"/>
    <col min="6412" max="6412" width="9.625" customWidth="1"/>
    <col min="6413" max="6413" width="5.25" customWidth="1"/>
    <col min="6415" max="6415" width="2" customWidth="1"/>
    <col min="6416" max="6416" width="21.125" customWidth="1"/>
    <col min="6658" max="6658" width="12.375" customWidth="1"/>
    <col min="6660" max="6660" width="13" customWidth="1"/>
    <col min="6661" max="6661" width="1.75" customWidth="1"/>
    <col min="6663" max="6663" width="2.125" customWidth="1"/>
    <col min="6665" max="6665" width="1.375" customWidth="1"/>
    <col min="6666" max="6666" width="9.75" customWidth="1"/>
    <col min="6667" max="6667" width="1.75" customWidth="1"/>
    <col min="6668" max="6668" width="9.625" customWidth="1"/>
    <col min="6669" max="6669" width="5.25" customWidth="1"/>
    <col min="6671" max="6671" width="2" customWidth="1"/>
    <col min="6672" max="6672" width="21.125" customWidth="1"/>
    <col min="6914" max="6914" width="12.375" customWidth="1"/>
    <col min="6916" max="6916" width="13" customWidth="1"/>
    <col min="6917" max="6917" width="1.75" customWidth="1"/>
    <col min="6919" max="6919" width="2.125" customWidth="1"/>
    <col min="6921" max="6921" width="1.375" customWidth="1"/>
    <col min="6922" max="6922" width="9.75" customWidth="1"/>
    <col min="6923" max="6923" width="1.75" customWidth="1"/>
    <col min="6924" max="6924" width="9.625" customWidth="1"/>
    <col min="6925" max="6925" width="5.25" customWidth="1"/>
    <col min="6927" max="6927" width="2" customWidth="1"/>
    <col min="6928" max="6928" width="21.125" customWidth="1"/>
    <col min="7170" max="7170" width="12.375" customWidth="1"/>
    <col min="7172" max="7172" width="13" customWidth="1"/>
    <col min="7173" max="7173" width="1.75" customWidth="1"/>
    <col min="7175" max="7175" width="2.125" customWidth="1"/>
    <col min="7177" max="7177" width="1.375" customWidth="1"/>
    <col min="7178" max="7178" width="9.75" customWidth="1"/>
    <col min="7179" max="7179" width="1.75" customWidth="1"/>
    <col min="7180" max="7180" width="9.625" customWidth="1"/>
    <col min="7181" max="7181" width="5.25" customWidth="1"/>
    <col min="7183" max="7183" width="2" customWidth="1"/>
    <col min="7184" max="7184" width="21.125" customWidth="1"/>
    <col min="7426" max="7426" width="12.375" customWidth="1"/>
    <col min="7428" max="7428" width="13" customWidth="1"/>
    <col min="7429" max="7429" width="1.75" customWidth="1"/>
    <col min="7431" max="7431" width="2.125" customWidth="1"/>
    <col min="7433" max="7433" width="1.375" customWidth="1"/>
    <col min="7434" max="7434" width="9.75" customWidth="1"/>
    <col min="7435" max="7435" width="1.75" customWidth="1"/>
    <col min="7436" max="7436" width="9.625" customWidth="1"/>
    <col min="7437" max="7437" width="5.25" customWidth="1"/>
    <col min="7439" max="7439" width="2" customWidth="1"/>
    <col min="7440" max="7440" width="21.125" customWidth="1"/>
    <col min="7682" max="7682" width="12.375" customWidth="1"/>
    <col min="7684" max="7684" width="13" customWidth="1"/>
    <col min="7685" max="7685" width="1.75" customWidth="1"/>
    <col min="7687" max="7687" width="2.125" customWidth="1"/>
    <col min="7689" max="7689" width="1.375" customWidth="1"/>
    <col min="7690" max="7690" width="9.75" customWidth="1"/>
    <col min="7691" max="7691" width="1.75" customWidth="1"/>
    <col min="7692" max="7692" width="9.625" customWidth="1"/>
    <col min="7693" max="7693" width="5.25" customWidth="1"/>
    <col min="7695" max="7695" width="2" customWidth="1"/>
    <col min="7696" max="7696" width="21.125" customWidth="1"/>
    <col min="7938" max="7938" width="12.375" customWidth="1"/>
    <col min="7940" max="7940" width="13" customWidth="1"/>
    <col min="7941" max="7941" width="1.75" customWidth="1"/>
    <col min="7943" max="7943" width="2.125" customWidth="1"/>
    <col min="7945" max="7945" width="1.375" customWidth="1"/>
    <col min="7946" max="7946" width="9.75" customWidth="1"/>
    <col min="7947" max="7947" width="1.75" customWidth="1"/>
    <col min="7948" max="7948" width="9.625" customWidth="1"/>
    <col min="7949" max="7949" width="5.25" customWidth="1"/>
    <col min="7951" max="7951" width="2" customWidth="1"/>
    <col min="7952" max="7952" width="21.125" customWidth="1"/>
    <col min="8194" max="8194" width="12.375" customWidth="1"/>
    <col min="8196" max="8196" width="13" customWidth="1"/>
    <col min="8197" max="8197" width="1.75" customWidth="1"/>
    <col min="8199" max="8199" width="2.125" customWidth="1"/>
    <col min="8201" max="8201" width="1.375" customWidth="1"/>
    <col min="8202" max="8202" width="9.75" customWidth="1"/>
    <col min="8203" max="8203" width="1.75" customWidth="1"/>
    <col min="8204" max="8204" width="9.625" customWidth="1"/>
    <col min="8205" max="8205" width="5.25" customWidth="1"/>
    <col min="8207" max="8207" width="2" customWidth="1"/>
    <col min="8208" max="8208" width="21.125" customWidth="1"/>
    <col min="8450" max="8450" width="12.375" customWidth="1"/>
    <col min="8452" max="8452" width="13" customWidth="1"/>
    <col min="8453" max="8453" width="1.75" customWidth="1"/>
    <col min="8455" max="8455" width="2.125" customWidth="1"/>
    <col min="8457" max="8457" width="1.375" customWidth="1"/>
    <col min="8458" max="8458" width="9.75" customWidth="1"/>
    <col min="8459" max="8459" width="1.75" customWidth="1"/>
    <col min="8460" max="8460" width="9.625" customWidth="1"/>
    <col min="8461" max="8461" width="5.25" customWidth="1"/>
    <col min="8463" max="8463" width="2" customWidth="1"/>
    <col min="8464" max="8464" width="21.125" customWidth="1"/>
    <col min="8706" max="8706" width="12.375" customWidth="1"/>
    <col min="8708" max="8708" width="13" customWidth="1"/>
    <col min="8709" max="8709" width="1.75" customWidth="1"/>
    <col min="8711" max="8711" width="2.125" customWidth="1"/>
    <col min="8713" max="8713" width="1.375" customWidth="1"/>
    <col min="8714" max="8714" width="9.75" customWidth="1"/>
    <col min="8715" max="8715" width="1.75" customWidth="1"/>
    <col min="8716" max="8716" width="9.625" customWidth="1"/>
    <col min="8717" max="8717" width="5.25" customWidth="1"/>
    <col min="8719" max="8719" width="2" customWidth="1"/>
    <col min="8720" max="8720" width="21.125" customWidth="1"/>
    <col min="8962" max="8962" width="12.375" customWidth="1"/>
    <col min="8964" max="8964" width="13" customWidth="1"/>
    <col min="8965" max="8965" width="1.75" customWidth="1"/>
    <col min="8967" max="8967" width="2.125" customWidth="1"/>
    <col min="8969" max="8969" width="1.375" customWidth="1"/>
    <col min="8970" max="8970" width="9.75" customWidth="1"/>
    <col min="8971" max="8971" width="1.75" customWidth="1"/>
    <col min="8972" max="8972" width="9.625" customWidth="1"/>
    <col min="8973" max="8973" width="5.25" customWidth="1"/>
    <col min="8975" max="8975" width="2" customWidth="1"/>
    <col min="8976" max="8976" width="21.125" customWidth="1"/>
    <col min="9218" max="9218" width="12.375" customWidth="1"/>
    <col min="9220" max="9220" width="13" customWidth="1"/>
    <col min="9221" max="9221" width="1.75" customWidth="1"/>
    <col min="9223" max="9223" width="2.125" customWidth="1"/>
    <col min="9225" max="9225" width="1.375" customWidth="1"/>
    <col min="9226" max="9226" width="9.75" customWidth="1"/>
    <col min="9227" max="9227" width="1.75" customWidth="1"/>
    <col min="9228" max="9228" width="9.625" customWidth="1"/>
    <col min="9229" max="9229" width="5.25" customWidth="1"/>
    <col min="9231" max="9231" width="2" customWidth="1"/>
    <col min="9232" max="9232" width="21.125" customWidth="1"/>
    <col min="9474" max="9474" width="12.375" customWidth="1"/>
    <col min="9476" max="9476" width="13" customWidth="1"/>
    <col min="9477" max="9477" width="1.75" customWidth="1"/>
    <col min="9479" max="9479" width="2.125" customWidth="1"/>
    <col min="9481" max="9481" width="1.375" customWidth="1"/>
    <col min="9482" max="9482" width="9.75" customWidth="1"/>
    <col min="9483" max="9483" width="1.75" customWidth="1"/>
    <col min="9484" max="9484" width="9.625" customWidth="1"/>
    <col min="9485" max="9485" width="5.25" customWidth="1"/>
    <col min="9487" max="9487" width="2" customWidth="1"/>
    <col min="9488" max="9488" width="21.125" customWidth="1"/>
    <col min="9730" max="9730" width="12.375" customWidth="1"/>
    <col min="9732" max="9732" width="13" customWidth="1"/>
    <col min="9733" max="9733" width="1.75" customWidth="1"/>
    <col min="9735" max="9735" width="2.125" customWidth="1"/>
    <col min="9737" max="9737" width="1.375" customWidth="1"/>
    <col min="9738" max="9738" width="9.75" customWidth="1"/>
    <col min="9739" max="9739" width="1.75" customWidth="1"/>
    <col min="9740" max="9740" width="9.625" customWidth="1"/>
    <col min="9741" max="9741" width="5.25" customWidth="1"/>
    <col min="9743" max="9743" width="2" customWidth="1"/>
    <col min="9744" max="9744" width="21.125" customWidth="1"/>
    <col min="9986" max="9986" width="12.375" customWidth="1"/>
    <col min="9988" max="9988" width="13" customWidth="1"/>
    <col min="9989" max="9989" width="1.75" customWidth="1"/>
    <col min="9991" max="9991" width="2.125" customWidth="1"/>
    <col min="9993" max="9993" width="1.375" customWidth="1"/>
    <col min="9994" max="9994" width="9.75" customWidth="1"/>
    <col min="9995" max="9995" width="1.75" customWidth="1"/>
    <col min="9996" max="9996" width="9.625" customWidth="1"/>
    <col min="9997" max="9997" width="5.25" customWidth="1"/>
    <col min="9999" max="9999" width="2" customWidth="1"/>
    <col min="10000" max="10000" width="21.125" customWidth="1"/>
    <col min="10242" max="10242" width="12.375" customWidth="1"/>
    <col min="10244" max="10244" width="13" customWidth="1"/>
    <col min="10245" max="10245" width="1.75" customWidth="1"/>
    <col min="10247" max="10247" width="2.125" customWidth="1"/>
    <col min="10249" max="10249" width="1.375" customWidth="1"/>
    <col min="10250" max="10250" width="9.75" customWidth="1"/>
    <col min="10251" max="10251" width="1.75" customWidth="1"/>
    <col min="10252" max="10252" width="9.625" customWidth="1"/>
    <col min="10253" max="10253" width="5.25" customWidth="1"/>
    <col min="10255" max="10255" width="2" customWidth="1"/>
    <col min="10256" max="10256" width="21.125" customWidth="1"/>
    <col min="10498" max="10498" width="12.375" customWidth="1"/>
    <col min="10500" max="10500" width="13" customWidth="1"/>
    <col min="10501" max="10501" width="1.75" customWidth="1"/>
    <col min="10503" max="10503" width="2.125" customWidth="1"/>
    <col min="10505" max="10505" width="1.375" customWidth="1"/>
    <col min="10506" max="10506" width="9.75" customWidth="1"/>
    <col min="10507" max="10507" width="1.75" customWidth="1"/>
    <col min="10508" max="10508" width="9.625" customWidth="1"/>
    <col min="10509" max="10509" width="5.25" customWidth="1"/>
    <col min="10511" max="10511" width="2" customWidth="1"/>
    <col min="10512" max="10512" width="21.125" customWidth="1"/>
    <col min="10754" max="10754" width="12.375" customWidth="1"/>
    <col min="10756" max="10756" width="13" customWidth="1"/>
    <col min="10757" max="10757" width="1.75" customWidth="1"/>
    <col min="10759" max="10759" width="2.125" customWidth="1"/>
    <col min="10761" max="10761" width="1.375" customWidth="1"/>
    <col min="10762" max="10762" width="9.75" customWidth="1"/>
    <col min="10763" max="10763" width="1.75" customWidth="1"/>
    <col min="10764" max="10764" width="9.625" customWidth="1"/>
    <col min="10765" max="10765" width="5.25" customWidth="1"/>
    <col min="10767" max="10767" width="2" customWidth="1"/>
    <col min="10768" max="10768" width="21.125" customWidth="1"/>
    <col min="11010" max="11010" width="12.375" customWidth="1"/>
    <col min="11012" max="11012" width="13" customWidth="1"/>
    <col min="11013" max="11013" width="1.75" customWidth="1"/>
    <col min="11015" max="11015" width="2.125" customWidth="1"/>
    <col min="11017" max="11017" width="1.375" customWidth="1"/>
    <col min="11018" max="11018" width="9.75" customWidth="1"/>
    <col min="11019" max="11019" width="1.75" customWidth="1"/>
    <col min="11020" max="11020" width="9.625" customWidth="1"/>
    <col min="11021" max="11021" width="5.25" customWidth="1"/>
    <col min="11023" max="11023" width="2" customWidth="1"/>
    <col min="11024" max="11024" width="21.125" customWidth="1"/>
    <col min="11266" max="11266" width="12.375" customWidth="1"/>
    <col min="11268" max="11268" width="13" customWidth="1"/>
    <col min="11269" max="11269" width="1.75" customWidth="1"/>
    <col min="11271" max="11271" width="2.125" customWidth="1"/>
    <col min="11273" max="11273" width="1.375" customWidth="1"/>
    <col min="11274" max="11274" width="9.75" customWidth="1"/>
    <col min="11275" max="11275" width="1.75" customWidth="1"/>
    <col min="11276" max="11276" width="9.625" customWidth="1"/>
    <col min="11277" max="11277" width="5.25" customWidth="1"/>
    <col min="11279" max="11279" width="2" customWidth="1"/>
    <col min="11280" max="11280" width="21.125" customWidth="1"/>
    <col min="11522" max="11522" width="12.375" customWidth="1"/>
    <col min="11524" max="11524" width="13" customWidth="1"/>
    <col min="11525" max="11525" width="1.75" customWidth="1"/>
    <col min="11527" max="11527" width="2.125" customWidth="1"/>
    <col min="11529" max="11529" width="1.375" customWidth="1"/>
    <col min="11530" max="11530" width="9.75" customWidth="1"/>
    <col min="11531" max="11531" width="1.75" customWidth="1"/>
    <col min="11532" max="11532" width="9.625" customWidth="1"/>
    <col min="11533" max="11533" width="5.25" customWidth="1"/>
    <col min="11535" max="11535" width="2" customWidth="1"/>
    <col min="11536" max="11536" width="21.125" customWidth="1"/>
    <col min="11778" max="11778" width="12.375" customWidth="1"/>
    <col min="11780" max="11780" width="13" customWidth="1"/>
    <col min="11781" max="11781" width="1.75" customWidth="1"/>
    <col min="11783" max="11783" width="2.125" customWidth="1"/>
    <col min="11785" max="11785" width="1.375" customWidth="1"/>
    <col min="11786" max="11786" width="9.75" customWidth="1"/>
    <col min="11787" max="11787" width="1.75" customWidth="1"/>
    <col min="11788" max="11788" width="9.625" customWidth="1"/>
    <col min="11789" max="11789" width="5.25" customWidth="1"/>
    <col min="11791" max="11791" width="2" customWidth="1"/>
    <col min="11792" max="11792" width="21.125" customWidth="1"/>
    <col min="12034" max="12034" width="12.375" customWidth="1"/>
    <col min="12036" max="12036" width="13" customWidth="1"/>
    <col min="12037" max="12037" width="1.75" customWidth="1"/>
    <col min="12039" max="12039" width="2.125" customWidth="1"/>
    <col min="12041" max="12041" width="1.375" customWidth="1"/>
    <col min="12042" max="12042" width="9.75" customWidth="1"/>
    <col min="12043" max="12043" width="1.75" customWidth="1"/>
    <col min="12044" max="12044" width="9.625" customWidth="1"/>
    <col min="12045" max="12045" width="5.25" customWidth="1"/>
    <col min="12047" max="12047" width="2" customWidth="1"/>
    <col min="12048" max="12048" width="21.125" customWidth="1"/>
    <col min="12290" max="12290" width="12.375" customWidth="1"/>
    <col min="12292" max="12292" width="13" customWidth="1"/>
    <col min="12293" max="12293" width="1.75" customWidth="1"/>
    <col min="12295" max="12295" width="2.125" customWidth="1"/>
    <col min="12297" max="12297" width="1.375" customWidth="1"/>
    <col min="12298" max="12298" width="9.75" customWidth="1"/>
    <col min="12299" max="12299" width="1.75" customWidth="1"/>
    <col min="12300" max="12300" width="9.625" customWidth="1"/>
    <col min="12301" max="12301" width="5.25" customWidth="1"/>
    <col min="12303" max="12303" width="2" customWidth="1"/>
    <col min="12304" max="12304" width="21.125" customWidth="1"/>
    <col min="12546" max="12546" width="12.375" customWidth="1"/>
    <col min="12548" max="12548" width="13" customWidth="1"/>
    <col min="12549" max="12549" width="1.75" customWidth="1"/>
    <col min="12551" max="12551" width="2.125" customWidth="1"/>
    <col min="12553" max="12553" width="1.375" customWidth="1"/>
    <col min="12554" max="12554" width="9.75" customWidth="1"/>
    <col min="12555" max="12555" width="1.75" customWidth="1"/>
    <col min="12556" max="12556" width="9.625" customWidth="1"/>
    <col min="12557" max="12557" width="5.25" customWidth="1"/>
    <col min="12559" max="12559" width="2" customWidth="1"/>
    <col min="12560" max="12560" width="21.125" customWidth="1"/>
    <col min="12802" max="12802" width="12.375" customWidth="1"/>
    <col min="12804" max="12804" width="13" customWidth="1"/>
    <col min="12805" max="12805" width="1.75" customWidth="1"/>
    <col min="12807" max="12807" width="2.125" customWidth="1"/>
    <col min="12809" max="12809" width="1.375" customWidth="1"/>
    <col min="12810" max="12810" width="9.75" customWidth="1"/>
    <col min="12811" max="12811" width="1.75" customWidth="1"/>
    <col min="12812" max="12812" width="9.625" customWidth="1"/>
    <col min="12813" max="12813" width="5.25" customWidth="1"/>
    <col min="12815" max="12815" width="2" customWidth="1"/>
    <col min="12816" max="12816" width="21.125" customWidth="1"/>
    <col min="13058" max="13058" width="12.375" customWidth="1"/>
    <col min="13060" max="13060" width="13" customWidth="1"/>
    <col min="13061" max="13061" width="1.75" customWidth="1"/>
    <col min="13063" max="13063" width="2.125" customWidth="1"/>
    <col min="13065" max="13065" width="1.375" customWidth="1"/>
    <col min="13066" max="13066" width="9.75" customWidth="1"/>
    <col min="13067" max="13067" width="1.75" customWidth="1"/>
    <col min="13068" max="13068" width="9.625" customWidth="1"/>
    <col min="13069" max="13069" width="5.25" customWidth="1"/>
    <col min="13071" max="13071" width="2" customWidth="1"/>
    <col min="13072" max="13072" width="21.125" customWidth="1"/>
    <col min="13314" max="13314" width="12.375" customWidth="1"/>
    <col min="13316" max="13316" width="13" customWidth="1"/>
    <col min="13317" max="13317" width="1.75" customWidth="1"/>
    <col min="13319" max="13319" width="2.125" customWidth="1"/>
    <col min="13321" max="13321" width="1.375" customWidth="1"/>
    <col min="13322" max="13322" width="9.75" customWidth="1"/>
    <col min="13323" max="13323" width="1.75" customWidth="1"/>
    <col min="13324" max="13324" width="9.625" customWidth="1"/>
    <col min="13325" max="13325" width="5.25" customWidth="1"/>
    <col min="13327" max="13327" width="2" customWidth="1"/>
    <col min="13328" max="13328" width="21.125" customWidth="1"/>
    <col min="13570" max="13570" width="12.375" customWidth="1"/>
    <col min="13572" max="13572" width="13" customWidth="1"/>
    <col min="13573" max="13573" width="1.75" customWidth="1"/>
    <col min="13575" max="13575" width="2.125" customWidth="1"/>
    <col min="13577" max="13577" width="1.375" customWidth="1"/>
    <col min="13578" max="13578" width="9.75" customWidth="1"/>
    <col min="13579" max="13579" width="1.75" customWidth="1"/>
    <col min="13580" max="13580" width="9.625" customWidth="1"/>
    <col min="13581" max="13581" width="5.25" customWidth="1"/>
    <col min="13583" max="13583" width="2" customWidth="1"/>
    <col min="13584" max="13584" width="21.125" customWidth="1"/>
    <col min="13826" max="13826" width="12.375" customWidth="1"/>
    <col min="13828" max="13828" width="13" customWidth="1"/>
    <col min="13829" max="13829" width="1.75" customWidth="1"/>
    <col min="13831" max="13831" width="2.125" customWidth="1"/>
    <col min="13833" max="13833" width="1.375" customWidth="1"/>
    <col min="13834" max="13834" width="9.75" customWidth="1"/>
    <col min="13835" max="13835" width="1.75" customWidth="1"/>
    <col min="13836" max="13836" width="9.625" customWidth="1"/>
    <col min="13837" max="13837" width="5.25" customWidth="1"/>
    <col min="13839" max="13839" width="2" customWidth="1"/>
    <col min="13840" max="13840" width="21.125" customWidth="1"/>
    <col min="14082" max="14082" width="12.375" customWidth="1"/>
    <col min="14084" max="14084" width="13" customWidth="1"/>
    <col min="14085" max="14085" width="1.75" customWidth="1"/>
    <col min="14087" max="14087" width="2.125" customWidth="1"/>
    <col min="14089" max="14089" width="1.375" customWidth="1"/>
    <col min="14090" max="14090" width="9.75" customWidth="1"/>
    <col min="14091" max="14091" width="1.75" customWidth="1"/>
    <col min="14092" max="14092" width="9.625" customWidth="1"/>
    <col min="14093" max="14093" width="5.25" customWidth="1"/>
    <col min="14095" max="14095" width="2" customWidth="1"/>
    <col min="14096" max="14096" width="21.125" customWidth="1"/>
    <col min="14338" max="14338" width="12.375" customWidth="1"/>
    <col min="14340" max="14340" width="13" customWidth="1"/>
    <col min="14341" max="14341" width="1.75" customWidth="1"/>
    <col min="14343" max="14343" width="2.125" customWidth="1"/>
    <col min="14345" max="14345" width="1.375" customWidth="1"/>
    <col min="14346" max="14346" width="9.75" customWidth="1"/>
    <col min="14347" max="14347" width="1.75" customWidth="1"/>
    <col min="14348" max="14348" width="9.625" customWidth="1"/>
    <col min="14349" max="14349" width="5.25" customWidth="1"/>
    <col min="14351" max="14351" width="2" customWidth="1"/>
    <col min="14352" max="14352" width="21.125" customWidth="1"/>
    <col min="14594" max="14594" width="12.375" customWidth="1"/>
    <col min="14596" max="14596" width="13" customWidth="1"/>
    <col min="14597" max="14597" width="1.75" customWidth="1"/>
    <col min="14599" max="14599" width="2.125" customWidth="1"/>
    <col min="14601" max="14601" width="1.375" customWidth="1"/>
    <col min="14602" max="14602" width="9.75" customWidth="1"/>
    <col min="14603" max="14603" width="1.75" customWidth="1"/>
    <col min="14604" max="14604" width="9.625" customWidth="1"/>
    <col min="14605" max="14605" width="5.25" customWidth="1"/>
    <col min="14607" max="14607" width="2" customWidth="1"/>
    <col min="14608" max="14608" width="21.125" customWidth="1"/>
    <col min="14850" max="14850" width="12.375" customWidth="1"/>
    <col min="14852" max="14852" width="13" customWidth="1"/>
    <col min="14853" max="14853" width="1.75" customWidth="1"/>
    <col min="14855" max="14855" width="2.125" customWidth="1"/>
    <col min="14857" max="14857" width="1.375" customWidth="1"/>
    <col min="14858" max="14858" width="9.75" customWidth="1"/>
    <col min="14859" max="14859" width="1.75" customWidth="1"/>
    <col min="14860" max="14860" width="9.625" customWidth="1"/>
    <col min="14861" max="14861" width="5.25" customWidth="1"/>
    <col min="14863" max="14863" width="2" customWidth="1"/>
    <col min="14864" max="14864" width="21.125" customWidth="1"/>
    <col min="15106" max="15106" width="12.375" customWidth="1"/>
    <col min="15108" max="15108" width="13" customWidth="1"/>
    <col min="15109" max="15109" width="1.75" customWidth="1"/>
    <col min="15111" max="15111" width="2.125" customWidth="1"/>
    <col min="15113" max="15113" width="1.375" customWidth="1"/>
    <col min="15114" max="15114" width="9.75" customWidth="1"/>
    <col min="15115" max="15115" width="1.75" customWidth="1"/>
    <col min="15116" max="15116" width="9.625" customWidth="1"/>
    <col min="15117" max="15117" width="5.25" customWidth="1"/>
    <col min="15119" max="15119" width="2" customWidth="1"/>
    <col min="15120" max="15120" width="21.125" customWidth="1"/>
    <col min="15362" max="15362" width="12.375" customWidth="1"/>
    <col min="15364" max="15364" width="13" customWidth="1"/>
    <col min="15365" max="15365" width="1.75" customWidth="1"/>
    <col min="15367" max="15367" width="2.125" customWidth="1"/>
    <col min="15369" max="15369" width="1.375" customWidth="1"/>
    <col min="15370" max="15370" width="9.75" customWidth="1"/>
    <col min="15371" max="15371" width="1.75" customWidth="1"/>
    <col min="15372" max="15372" width="9.625" customWidth="1"/>
    <col min="15373" max="15373" width="5.25" customWidth="1"/>
    <col min="15375" max="15375" width="2" customWidth="1"/>
    <col min="15376" max="15376" width="21.125" customWidth="1"/>
    <col min="15618" max="15618" width="12.375" customWidth="1"/>
    <col min="15620" max="15620" width="13" customWidth="1"/>
    <col min="15621" max="15621" width="1.75" customWidth="1"/>
    <col min="15623" max="15623" width="2.125" customWidth="1"/>
    <col min="15625" max="15625" width="1.375" customWidth="1"/>
    <col min="15626" max="15626" width="9.75" customWidth="1"/>
    <col min="15627" max="15627" width="1.75" customWidth="1"/>
    <col min="15628" max="15628" width="9.625" customWidth="1"/>
    <col min="15629" max="15629" width="5.25" customWidth="1"/>
    <col min="15631" max="15631" width="2" customWidth="1"/>
    <col min="15632" max="15632" width="21.125" customWidth="1"/>
    <col min="15874" max="15874" width="12.375" customWidth="1"/>
    <col min="15876" max="15876" width="13" customWidth="1"/>
    <col min="15877" max="15877" width="1.75" customWidth="1"/>
    <col min="15879" max="15879" width="2.125" customWidth="1"/>
    <col min="15881" max="15881" width="1.375" customWidth="1"/>
    <col min="15882" max="15882" width="9.75" customWidth="1"/>
    <col min="15883" max="15883" width="1.75" customWidth="1"/>
    <col min="15884" max="15884" width="9.625" customWidth="1"/>
    <col min="15885" max="15885" width="5.25" customWidth="1"/>
    <col min="15887" max="15887" width="2" customWidth="1"/>
    <col min="15888" max="15888" width="21.125" customWidth="1"/>
    <col min="16130" max="16130" width="12.375" customWidth="1"/>
    <col min="16132" max="16132" width="13" customWidth="1"/>
    <col min="16133" max="16133" width="1.75" customWidth="1"/>
    <col min="16135" max="16135" width="2.125" customWidth="1"/>
    <col min="16137" max="16137" width="1.375" customWidth="1"/>
    <col min="16138" max="16138" width="9.75" customWidth="1"/>
    <col min="16139" max="16139" width="1.75" customWidth="1"/>
    <col min="16140" max="16140" width="9.625" customWidth="1"/>
    <col min="16141" max="16141" width="5.25" customWidth="1"/>
    <col min="16143" max="16143" width="2" customWidth="1"/>
    <col min="16144" max="16144" width="21.125" customWidth="1"/>
  </cols>
  <sheetData>
    <row r="1" spans="1:19" ht="18.75" customHeight="1">
      <c r="A1" s="29" t="s">
        <v>49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1:19" ht="23.25" customHeight="1">
      <c r="A2" s="28" t="s">
        <v>47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9" ht="20.25" customHeight="1">
      <c r="A3" s="28" t="s">
        <v>48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9" ht="18.75">
      <c r="A4" s="103" t="s">
        <v>0</v>
      </c>
      <c r="B4" s="103"/>
      <c r="C4" s="103"/>
      <c r="D4" s="103"/>
      <c r="E4" s="1"/>
      <c r="F4" s="1"/>
      <c r="G4" s="1"/>
      <c r="H4" s="1"/>
      <c r="I4" s="2" t="s">
        <v>1</v>
      </c>
      <c r="K4" s="1"/>
      <c r="L4" s="1"/>
      <c r="S4" s="23" t="e" cm="1">
        <f t="array" aca="1" ref="S4" ca="1">СУММАПРОПИСЬЮ(P46)&amp;" руб. "&amp;TEXT((P46-INT(P46))*100,"00")&amp;" коп."</f>
        <v>#NAME?</v>
      </c>
    </row>
    <row r="5" spans="1:19" ht="15.75">
      <c r="A5" s="1"/>
      <c r="B5" s="1"/>
      <c r="C5" s="1"/>
      <c r="D5" s="1"/>
      <c r="E5" s="1"/>
      <c r="F5" s="1"/>
      <c r="G5" s="1"/>
      <c r="H5" s="1"/>
      <c r="I5" s="3" t="s">
        <v>2</v>
      </c>
      <c r="K5" s="1"/>
      <c r="L5" s="1"/>
      <c r="S5" s="23" t="e">
        <f ca="1">PROPER(LEFT(S4,1))</f>
        <v>#NAME?</v>
      </c>
    </row>
    <row r="6" spans="1:19">
      <c r="A6" s="1"/>
      <c r="B6" s="1"/>
      <c r="C6" s="1"/>
      <c r="D6" s="1"/>
      <c r="E6" s="1"/>
      <c r="F6" s="1"/>
      <c r="G6" s="1"/>
      <c r="H6" s="1"/>
      <c r="I6" s="104" t="e">
        <f ca="1">IF(F52=0,0,REPLACE(S4,1,1,S5))</f>
        <v>#NAME?</v>
      </c>
      <c r="J6" s="104"/>
      <c r="K6" s="104"/>
      <c r="L6" s="104"/>
      <c r="M6" s="104"/>
      <c r="N6" s="104"/>
      <c r="O6" s="104"/>
      <c r="P6" s="104"/>
    </row>
    <row r="7" spans="1:19">
      <c r="A7" s="1"/>
      <c r="B7" s="1"/>
      <c r="C7" s="1"/>
      <c r="D7" s="1"/>
      <c r="E7" s="1"/>
      <c r="F7" s="1"/>
      <c r="G7" s="1"/>
      <c r="H7" s="1"/>
      <c r="I7" s="104"/>
      <c r="J7" s="104"/>
      <c r="K7" s="104"/>
      <c r="L7" s="104"/>
      <c r="M7" s="104"/>
      <c r="N7" s="104"/>
      <c r="O7" s="104"/>
      <c r="P7" s="104"/>
    </row>
    <row r="8" spans="1:19" ht="19.5" customHeight="1">
      <c r="A8" s="1"/>
      <c r="B8" s="1"/>
      <c r="C8" s="1"/>
      <c r="D8" s="1"/>
      <c r="E8" s="1"/>
      <c r="F8" s="1"/>
      <c r="G8" s="1"/>
      <c r="H8" s="1"/>
      <c r="I8" s="97" t="s">
        <v>59</v>
      </c>
      <c r="J8" s="97"/>
      <c r="K8" s="97"/>
      <c r="L8" s="97"/>
      <c r="M8" s="97"/>
      <c r="N8" s="97"/>
      <c r="O8" s="97"/>
      <c r="P8" s="97"/>
    </row>
    <row r="9" spans="1:19" ht="12" customHeight="1">
      <c r="A9" s="1"/>
      <c r="B9" s="1"/>
      <c r="C9" s="1"/>
      <c r="D9" s="1"/>
      <c r="E9" s="1"/>
      <c r="F9" s="1"/>
      <c r="G9" s="1"/>
      <c r="H9" s="1"/>
      <c r="I9" s="35" t="s">
        <v>3</v>
      </c>
      <c r="J9" s="35"/>
      <c r="K9" s="35"/>
      <c r="L9" s="35"/>
      <c r="M9" s="35"/>
      <c r="N9" s="35"/>
      <c r="O9" s="35"/>
      <c r="P9" s="35"/>
    </row>
    <row r="10" spans="1:19" ht="23.25" customHeight="1">
      <c r="A10" s="1"/>
      <c r="B10" s="1"/>
      <c r="C10" s="1"/>
      <c r="D10" s="1"/>
      <c r="E10" s="1"/>
      <c r="F10" s="1"/>
      <c r="G10" s="1"/>
      <c r="H10" s="1"/>
      <c r="I10" s="105"/>
      <c r="J10" s="105"/>
      <c r="K10" s="105"/>
      <c r="L10" s="105"/>
      <c r="M10" s="1"/>
      <c r="N10" s="97" t="s">
        <v>60</v>
      </c>
      <c r="O10" s="97"/>
      <c r="P10" s="97"/>
      <c r="Q10" s="1"/>
    </row>
    <row r="11" spans="1:19" ht="23.25" customHeight="1">
      <c r="A11" s="1"/>
      <c r="B11" s="1"/>
      <c r="C11" s="1"/>
      <c r="D11" s="1"/>
      <c r="E11" s="1"/>
      <c r="F11" s="1"/>
      <c r="G11" s="1"/>
      <c r="H11" s="1"/>
      <c r="I11" s="110" t="s">
        <v>4</v>
      </c>
      <c r="J11" s="110"/>
      <c r="K11" s="110"/>
      <c r="L11" s="110"/>
      <c r="M11" s="5"/>
      <c r="N11" s="34" t="s">
        <v>5</v>
      </c>
      <c r="O11" s="34"/>
      <c r="P11" s="34"/>
    </row>
    <row r="12" spans="1:19" ht="18.75" customHeight="1">
      <c r="A12" s="1"/>
      <c r="B12" s="1"/>
      <c r="C12" s="1"/>
      <c r="D12" s="1"/>
      <c r="E12" s="1"/>
      <c r="F12" s="1"/>
      <c r="G12" s="1"/>
      <c r="H12" s="1"/>
      <c r="I12" s="6" t="s">
        <v>6</v>
      </c>
      <c r="J12" s="7">
        <f>F16</f>
        <v>26</v>
      </c>
      <c r="K12" s="6" t="s">
        <v>6</v>
      </c>
      <c r="L12" s="111" t="str">
        <f>H16</f>
        <v>октября</v>
      </c>
      <c r="M12" s="111"/>
      <c r="N12" s="111"/>
      <c r="O12" s="8"/>
      <c r="P12" s="7">
        <f>L16</f>
        <v>2026</v>
      </c>
      <c r="Q12" s="4"/>
    </row>
    <row r="13" spans="1:19" ht="18.75" customHeight="1">
      <c r="A13" s="1"/>
      <c r="B13" s="1"/>
      <c r="C13" s="1"/>
      <c r="D13" s="1"/>
      <c r="E13" s="1"/>
      <c r="F13" s="1"/>
      <c r="G13" s="1"/>
      <c r="H13" s="1"/>
      <c r="I13" s="6"/>
      <c r="J13" s="8"/>
      <c r="K13" s="6"/>
      <c r="L13" s="8"/>
      <c r="M13" s="8"/>
      <c r="N13" s="8"/>
      <c r="O13" s="8"/>
      <c r="P13" s="8"/>
    </row>
    <row r="14" spans="1:19" ht="18.75" customHeight="1">
      <c r="A14" s="112" t="s">
        <v>7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</row>
    <row r="15" spans="1:19" ht="18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9" ht="15.75">
      <c r="A16" s="1"/>
      <c r="B16" s="1"/>
      <c r="C16" s="1"/>
      <c r="D16" s="9" t="s">
        <v>8</v>
      </c>
      <c r="E16" s="6" t="s">
        <v>6</v>
      </c>
      <c r="F16" s="25">
        <v>26</v>
      </c>
      <c r="G16" s="6" t="s">
        <v>6</v>
      </c>
      <c r="H16" s="113" t="s">
        <v>9</v>
      </c>
      <c r="I16" s="113"/>
      <c r="J16" s="113"/>
      <c r="K16" s="8"/>
      <c r="L16" s="26">
        <v>2026</v>
      </c>
      <c r="M16" s="1"/>
      <c r="R16" s="10"/>
    </row>
    <row r="17" spans="1:16" ht="25.5" customHeight="1"/>
    <row r="18" spans="1:16" ht="18.75">
      <c r="A18" s="114" t="s">
        <v>10</v>
      </c>
      <c r="B18" s="114"/>
      <c r="C18" s="114"/>
      <c r="D18" s="114"/>
      <c r="E18" s="97" t="s">
        <v>69</v>
      </c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</row>
    <row r="19" spans="1:16" ht="15.75">
      <c r="A19" s="3"/>
      <c r="B19" s="3"/>
      <c r="C19" s="3"/>
      <c r="D19" s="3"/>
      <c r="E19" s="33" t="s">
        <v>5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ht="20.25" customHeight="1">
      <c r="A20" s="98" t="s">
        <v>12</v>
      </c>
      <c r="B20" s="98"/>
      <c r="C20" s="98"/>
      <c r="D20" s="98"/>
      <c r="E20" s="97" t="s">
        <v>65</v>
      </c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</row>
    <row r="21" spans="1:16" ht="18" customHeight="1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1"/>
      <c r="N21" s="11"/>
      <c r="O21" s="11"/>
      <c r="P21" s="11"/>
    </row>
    <row r="22" spans="1:16" ht="16.5" customHeight="1">
      <c r="A22" s="98" t="s">
        <v>13</v>
      </c>
      <c r="B22" s="98"/>
      <c r="C22" s="98"/>
      <c r="D22" s="98"/>
      <c r="E22" s="119" t="s">
        <v>44</v>
      </c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</row>
    <row r="23" spans="1:16" ht="11.2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11"/>
      <c r="N23" s="11"/>
      <c r="O23" s="11"/>
      <c r="P23" s="11"/>
    </row>
    <row r="24" spans="1:16" ht="18.75" customHeight="1">
      <c r="A24" s="106" t="s">
        <v>14</v>
      </c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8"/>
      <c r="M24" s="109" t="s">
        <v>15</v>
      </c>
      <c r="N24" s="101"/>
      <c r="O24" s="101"/>
      <c r="P24" s="102"/>
    </row>
    <row r="25" spans="1:16" ht="18.75">
      <c r="A25" s="84" t="s">
        <v>16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6"/>
      <c r="M25" s="100" t="s">
        <v>17</v>
      </c>
      <c r="N25" s="101"/>
      <c r="O25" s="101"/>
      <c r="P25" s="102"/>
    </row>
    <row r="26" spans="1:16" ht="18.75">
      <c r="A26" s="118">
        <v>46314</v>
      </c>
      <c r="B26" s="116"/>
      <c r="C26" s="116"/>
      <c r="D26" s="116"/>
      <c r="E26" s="116"/>
      <c r="F26" s="116"/>
      <c r="G26" s="116"/>
      <c r="H26" s="116"/>
      <c r="I26" s="116"/>
      <c r="J26" s="116"/>
      <c r="K26" s="116"/>
      <c r="L26" s="117"/>
      <c r="M26" s="93">
        <v>99</v>
      </c>
      <c r="N26" s="94"/>
      <c r="O26" s="94"/>
      <c r="P26" s="95"/>
    </row>
    <row r="27" spans="1:16" ht="18.75">
      <c r="A27" s="115"/>
      <c r="B27" s="116"/>
      <c r="C27" s="116"/>
      <c r="D27" s="116"/>
      <c r="E27" s="116"/>
      <c r="F27" s="116"/>
      <c r="G27" s="116"/>
      <c r="H27" s="116"/>
      <c r="I27" s="116"/>
      <c r="J27" s="116"/>
      <c r="K27" s="116"/>
      <c r="L27" s="117"/>
      <c r="M27" s="93"/>
      <c r="N27" s="94"/>
      <c r="O27" s="94"/>
      <c r="P27" s="95"/>
    </row>
    <row r="28" spans="1:16" ht="18.75" customHeight="1">
      <c r="A28" s="115"/>
      <c r="B28" s="116"/>
      <c r="C28" s="116"/>
      <c r="D28" s="116"/>
      <c r="E28" s="116"/>
      <c r="F28" s="116"/>
      <c r="G28" s="116"/>
      <c r="H28" s="116"/>
      <c r="I28" s="116"/>
      <c r="J28" s="116"/>
      <c r="K28" s="116"/>
      <c r="L28" s="117"/>
      <c r="M28" s="93"/>
      <c r="N28" s="94"/>
      <c r="O28" s="94"/>
      <c r="P28" s="95"/>
    </row>
    <row r="29" spans="1:16" ht="18.75" customHeight="1">
      <c r="A29" s="84" t="s">
        <v>18</v>
      </c>
      <c r="B29" s="85"/>
      <c r="C29" s="85"/>
      <c r="D29" s="85"/>
      <c r="E29" s="85"/>
      <c r="F29" s="85"/>
      <c r="G29" s="85"/>
      <c r="H29" s="85"/>
      <c r="I29" s="85"/>
      <c r="J29" s="85"/>
      <c r="K29" s="85">
        <f>K26+K27+K28</f>
        <v>0</v>
      </c>
      <c r="L29" s="86"/>
      <c r="M29" s="87">
        <f>M26+M27+M28</f>
        <v>99</v>
      </c>
      <c r="N29" s="88"/>
      <c r="O29" s="88"/>
      <c r="P29" s="89"/>
    </row>
    <row r="30" spans="1:16" ht="18.75" customHeight="1">
      <c r="A30" s="84" t="s">
        <v>19</v>
      </c>
      <c r="B30" s="85"/>
      <c r="C30" s="85"/>
      <c r="D30" s="85"/>
      <c r="E30" s="85"/>
      <c r="F30" s="85"/>
      <c r="G30" s="85"/>
      <c r="H30" s="85"/>
      <c r="I30" s="85"/>
      <c r="J30" s="85"/>
      <c r="K30" s="85">
        <f>P46</f>
        <v>89.45</v>
      </c>
      <c r="L30" s="86"/>
      <c r="M30" s="87">
        <f>P46</f>
        <v>89.45</v>
      </c>
      <c r="N30" s="88"/>
      <c r="O30" s="88"/>
      <c r="P30" s="89"/>
    </row>
    <row r="31" spans="1:16" ht="18.75" customHeight="1">
      <c r="A31" s="84" t="s">
        <v>43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6"/>
      <c r="M31" s="87">
        <f>M29-M30</f>
        <v>9.5499999999999972</v>
      </c>
      <c r="N31" s="88"/>
      <c r="O31" s="88"/>
      <c r="P31" s="89"/>
    </row>
    <row r="32" spans="1:16" ht="15.75" customHeight="1" thickBo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</row>
    <row r="33" spans="1:16" ht="17.25" customHeight="1">
      <c r="A33" s="61" t="s">
        <v>20</v>
      </c>
      <c r="B33" s="62"/>
      <c r="C33" s="62"/>
      <c r="D33" s="62"/>
      <c r="E33" s="62"/>
      <c r="F33" s="62"/>
      <c r="G33" s="63"/>
      <c r="H33" s="67" t="s">
        <v>28</v>
      </c>
      <c r="I33" s="68"/>
      <c r="J33" s="68"/>
      <c r="K33" s="68"/>
      <c r="L33" s="68"/>
      <c r="M33" s="68"/>
      <c r="N33" s="68"/>
      <c r="O33" s="69"/>
      <c r="P33" s="76" t="s">
        <v>15</v>
      </c>
    </row>
    <row r="34" spans="1:16" ht="35.25" customHeight="1">
      <c r="A34" s="64"/>
      <c r="B34" s="65"/>
      <c r="C34" s="65"/>
      <c r="D34" s="65"/>
      <c r="E34" s="65"/>
      <c r="F34" s="65"/>
      <c r="G34" s="66"/>
      <c r="H34" s="70"/>
      <c r="I34" s="71"/>
      <c r="J34" s="71"/>
      <c r="K34" s="71"/>
      <c r="L34" s="71"/>
      <c r="M34" s="71"/>
      <c r="N34" s="71"/>
      <c r="O34" s="72"/>
      <c r="P34" s="77"/>
    </row>
    <row r="35" spans="1:16" ht="30.75" customHeight="1">
      <c r="A35" s="79" t="s">
        <v>21</v>
      </c>
      <c r="B35" s="80"/>
      <c r="C35" s="81" t="s">
        <v>40</v>
      </c>
      <c r="D35" s="82"/>
      <c r="E35" s="81" t="s">
        <v>22</v>
      </c>
      <c r="F35" s="83"/>
      <c r="G35" s="82"/>
      <c r="H35" s="73"/>
      <c r="I35" s="74"/>
      <c r="J35" s="74"/>
      <c r="K35" s="74"/>
      <c r="L35" s="74"/>
      <c r="M35" s="74"/>
      <c r="N35" s="74"/>
      <c r="O35" s="75"/>
      <c r="P35" s="78"/>
    </row>
    <row r="36" spans="1:16" ht="30" customHeight="1">
      <c r="A36" s="59" t="s">
        <v>62</v>
      </c>
      <c r="B36" s="54"/>
      <c r="C36" s="53"/>
      <c r="D36" s="54"/>
      <c r="E36" s="53"/>
      <c r="F36" s="55"/>
      <c r="G36" s="54"/>
      <c r="H36" s="56" t="s">
        <v>63</v>
      </c>
      <c r="I36" s="57"/>
      <c r="J36" s="57"/>
      <c r="K36" s="57"/>
      <c r="L36" s="57"/>
      <c r="M36" s="57"/>
      <c r="N36" s="57"/>
      <c r="O36" s="58"/>
      <c r="P36" s="13">
        <v>26</v>
      </c>
    </row>
    <row r="37" spans="1:16" ht="30" customHeight="1">
      <c r="A37" s="59" t="s">
        <v>61</v>
      </c>
      <c r="B37" s="54"/>
      <c r="C37" s="53" t="s">
        <v>66</v>
      </c>
      <c r="D37" s="54"/>
      <c r="E37" s="53" t="s">
        <v>72</v>
      </c>
      <c r="F37" s="55"/>
      <c r="G37" s="54"/>
      <c r="H37" s="56" t="s">
        <v>70</v>
      </c>
      <c r="I37" s="57"/>
      <c r="J37" s="57"/>
      <c r="K37" s="57"/>
      <c r="L37" s="57"/>
      <c r="M37" s="57"/>
      <c r="N37" s="57"/>
      <c r="O37" s="58"/>
      <c r="P37" s="13">
        <v>28.45</v>
      </c>
    </row>
    <row r="38" spans="1:16" ht="30" customHeight="1">
      <c r="A38" s="59" t="s">
        <v>64</v>
      </c>
      <c r="B38" s="54"/>
      <c r="C38" s="53" t="s">
        <v>67</v>
      </c>
      <c r="D38" s="54"/>
      <c r="E38" s="53" t="s">
        <v>68</v>
      </c>
      <c r="F38" s="55"/>
      <c r="G38" s="54"/>
      <c r="H38" s="56" t="s">
        <v>71</v>
      </c>
      <c r="I38" s="57"/>
      <c r="J38" s="57"/>
      <c r="K38" s="57"/>
      <c r="L38" s="57"/>
      <c r="M38" s="57"/>
      <c r="N38" s="57"/>
      <c r="O38" s="58"/>
      <c r="P38" s="13">
        <v>35</v>
      </c>
    </row>
    <row r="39" spans="1:16" ht="30" customHeight="1">
      <c r="A39" s="59"/>
      <c r="B39" s="54"/>
      <c r="C39" s="53"/>
      <c r="D39" s="54"/>
      <c r="E39" s="53"/>
      <c r="F39" s="55"/>
      <c r="G39" s="54"/>
      <c r="H39" s="56"/>
      <c r="I39" s="57"/>
      <c r="J39" s="57"/>
      <c r="K39" s="57"/>
      <c r="L39" s="57"/>
      <c r="M39" s="57"/>
      <c r="N39" s="57"/>
      <c r="O39" s="58"/>
      <c r="P39" s="13"/>
    </row>
    <row r="40" spans="1:16" ht="30" customHeight="1">
      <c r="A40" s="59"/>
      <c r="B40" s="54"/>
      <c r="C40" s="53"/>
      <c r="D40" s="54"/>
      <c r="E40" s="53"/>
      <c r="F40" s="55"/>
      <c r="G40" s="54"/>
      <c r="H40" s="56"/>
      <c r="I40" s="57"/>
      <c r="J40" s="57"/>
      <c r="K40" s="57"/>
      <c r="L40" s="57"/>
      <c r="M40" s="57"/>
      <c r="N40" s="57"/>
      <c r="O40" s="58"/>
      <c r="P40" s="13"/>
    </row>
    <row r="41" spans="1:16" ht="30" customHeight="1">
      <c r="A41" s="59"/>
      <c r="B41" s="54"/>
      <c r="C41" s="53"/>
      <c r="D41" s="54"/>
      <c r="E41" s="53"/>
      <c r="F41" s="55"/>
      <c r="G41" s="54"/>
      <c r="H41" s="56"/>
      <c r="I41" s="57"/>
      <c r="J41" s="57"/>
      <c r="K41" s="57"/>
      <c r="L41" s="57"/>
      <c r="M41" s="57"/>
      <c r="N41" s="57"/>
      <c r="O41" s="58"/>
      <c r="P41" s="13"/>
    </row>
    <row r="42" spans="1:16" ht="30" customHeight="1">
      <c r="A42" s="59"/>
      <c r="B42" s="54"/>
      <c r="C42" s="53"/>
      <c r="D42" s="54"/>
      <c r="E42" s="53"/>
      <c r="F42" s="55"/>
      <c r="G42" s="54"/>
      <c r="H42" s="56"/>
      <c r="I42" s="57"/>
      <c r="J42" s="57"/>
      <c r="K42" s="57"/>
      <c r="L42" s="57"/>
      <c r="M42" s="57"/>
      <c r="N42" s="57"/>
      <c r="O42" s="58"/>
      <c r="P42" s="13"/>
    </row>
    <row r="43" spans="1:16" ht="30" customHeight="1">
      <c r="A43" s="59"/>
      <c r="B43" s="54"/>
      <c r="C43" s="53"/>
      <c r="D43" s="54"/>
      <c r="E43" s="53"/>
      <c r="F43" s="55"/>
      <c r="G43" s="54"/>
      <c r="H43" s="56"/>
      <c r="I43" s="57"/>
      <c r="J43" s="57"/>
      <c r="K43" s="57"/>
      <c r="L43" s="57"/>
      <c r="M43" s="57"/>
      <c r="N43" s="57"/>
      <c r="O43" s="58"/>
      <c r="P43" s="13"/>
    </row>
    <row r="44" spans="1:16" ht="30" customHeight="1">
      <c r="A44" s="59"/>
      <c r="B44" s="54"/>
      <c r="C44" s="53"/>
      <c r="D44" s="54"/>
      <c r="E44" s="53"/>
      <c r="F44" s="55"/>
      <c r="G44" s="54"/>
      <c r="H44" s="56"/>
      <c r="I44" s="57"/>
      <c r="J44" s="57"/>
      <c r="K44" s="57"/>
      <c r="L44" s="57"/>
      <c r="M44" s="57"/>
      <c r="N44" s="57"/>
      <c r="O44" s="58"/>
      <c r="P44" s="13"/>
    </row>
    <row r="45" spans="1:16" ht="30" customHeight="1">
      <c r="A45" s="59"/>
      <c r="B45" s="54"/>
      <c r="C45" s="53"/>
      <c r="D45" s="54"/>
      <c r="E45" s="53"/>
      <c r="F45" s="55"/>
      <c r="G45" s="54"/>
      <c r="H45" s="56"/>
      <c r="I45" s="57"/>
      <c r="J45" s="57"/>
      <c r="K45" s="57"/>
      <c r="L45" s="57"/>
      <c r="M45" s="57"/>
      <c r="N45" s="57"/>
      <c r="O45" s="58"/>
      <c r="P45" s="13"/>
    </row>
    <row r="46" spans="1:16" ht="16.5" thickBot="1">
      <c r="A46" s="41" t="s">
        <v>24</v>
      </c>
      <c r="B46" s="42"/>
      <c r="C46" s="43"/>
      <c r="D46" s="44"/>
      <c r="E46" s="43"/>
      <c r="F46" s="45"/>
      <c r="G46" s="44"/>
      <c r="H46" s="46"/>
      <c r="I46" s="47"/>
      <c r="J46" s="47"/>
      <c r="K46" s="47"/>
      <c r="L46" s="47"/>
      <c r="M46" s="47"/>
      <c r="N46" s="47"/>
      <c r="O46" s="48"/>
      <c r="P46" s="30">
        <f>SUM(L36:P45)</f>
        <v>89.45</v>
      </c>
    </row>
    <row r="47" spans="1:16" ht="15.75">
      <c r="A47" s="14"/>
      <c r="B47" s="14"/>
      <c r="C47" s="15"/>
      <c r="D47" s="15"/>
      <c r="E47" s="15"/>
      <c r="F47" s="15"/>
      <c r="G47" s="15"/>
      <c r="H47" s="16"/>
      <c r="I47" s="16"/>
      <c r="J47" s="16"/>
      <c r="K47" s="16"/>
      <c r="L47" s="17"/>
      <c r="M47" s="17"/>
      <c r="N47" s="17"/>
      <c r="O47" s="17"/>
      <c r="P47" s="17"/>
    </row>
    <row r="48" spans="1:16" ht="15.75">
      <c r="A48" s="3"/>
      <c r="B48" s="3"/>
      <c r="C48" s="3"/>
      <c r="D48" s="18"/>
      <c r="E48" s="18"/>
      <c r="F48" s="18"/>
      <c r="G48" s="18"/>
      <c r="H48" s="18"/>
      <c r="I48" s="18"/>
      <c r="J48" s="18"/>
      <c r="K48" s="3"/>
      <c r="L48" s="3"/>
    </row>
    <row r="49" spans="1:16" ht="15.75">
      <c r="A49" s="38" t="s">
        <v>10</v>
      </c>
      <c r="B49" s="38"/>
      <c r="C49" s="38"/>
      <c r="D49" s="49"/>
      <c r="E49" s="49"/>
      <c r="F49" s="49"/>
      <c r="G49" s="49"/>
      <c r="H49" s="49"/>
      <c r="I49" s="49"/>
      <c r="J49" s="19"/>
      <c r="K49" s="50" t="str">
        <f>E18</f>
        <v>Кухаренко Юлия Владимировна</v>
      </c>
      <c r="L49" s="50"/>
      <c r="M49" s="50"/>
      <c r="N49" s="50"/>
      <c r="O49" s="50"/>
      <c r="P49" s="50"/>
    </row>
    <row r="50" spans="1:16" ht="15.75">
      <c r="A50" s="3"/>
      <c r="B50" s="3"/>
      <c r="C50" s="3"/>
      <c r="D50" s="33" t="s">
        <v>4</v>
      </c>
      <c r="E50" s="33"/>
      <c r="F50" s="33"/>
      <c r="G50" s="33"/>
      <c r="H50" s="33"/>
      <c r="I50" s="33"/>
      <c r="J50" s="20"/>
      <c r="K50" s="35" t="s">
        <v>25</v>
      </c>
      <c r="L50" s="35"/>
      <c r="M50" s="35"/>
      <c r="N50" s="35"/>
      <c r="O50" s="35"/>
      <c r="P50" s="35"/>
    </row>
    <row r="51" spans="1:16" ht="24" customHeight="1">
      <c r="A51" s="3"/>
      <c r="B51" s="3"/>
      <c r="C51" s="3"/>
      <c r="D51" s="3"/>
      <c r="E51" s="3"/>
      <c r="F51" s="21"/>
      <c r="G51" s="21"/>
      <c r="H51" s="21"/>
      <c r="I51" s="21"/>
      <c r="J51" s="21"/>
      <c r="K51" s="21"/>
      <c r="L51" s="21"/>
    </row>
    <row r="52" spans="1:16" ht="38.25" customHeight="1">
      <c r="A52" s="36" t="s">
        <v>26</v>
      </c>
      <c r="B52" s="36"/>
      <c r="C52" s="36"/>
      <c r="D52" s="36"/>
      <c r="E52" s="27"/>
      <c r="F52" s="31">
        <f>P46</f>
        <v>89.45</v>
      </c>
      <c r="G52" s="37" t="s">
        <v>46</v>
      </c>
      <c r="H52" s="37"/>
      <c r="I52" s="27"/>
      <c r="J52" s="27"/>
      <c r="K52" s="27"/>
      <c r="L52" s="27"/>
      <c r="M52" s="27"/>
      <c r="N52" s="27"/>
      <c r="O52" s="27"/>
      <c r="P52" s="27"/>
    </row>
    <row r="53" spans="1:16" ht="24.75" customHeight="1">
      <c r="A53" s="38" t="s">
        <v>27</v>
      </c>
      <c r="B53" s="38"/>
      <c r="C53" s="38"/>
      <c r="D53" s="39"/>
      <c r="E53" s="39"/>
      <c r="F53" s="39"/>
      <c r="G53" s="39"/>
      <c r="H53" s="39"/>
      <c r="I53" s="39"/>
      <c r="J53" s="3"/>
      <c r="K53" s="40"/>
      <c r="L53" s="40"/>
      <c r="M53" s="40"/>
      <c r="N53" s="40"/>
      <c r="O53" s="40"/>
      <c r="P53" s="40"/>
    </row>
    <row r="54" spans="1:16">
      <c r="A54" s="22"/>
      <c r="B54" s="22"/>
      <c r="C54" s="22"/>
      <c r="D54" s="33" t="s">
        <v>4</v>
      </c>
      <c r="E54" s="33"/>
      <c r="F54" s="33"/>
      <c r="G54" s="33"/>
      <c r="H54" s="33"/>
      <c r="I54" s="33"/>
      <c r="J54" s="22"/>
      <c r="K54" s="34" t="s">
        <v>25</v>
      </c>
      <c r="L54" s="34"/>
      <c r="M54" s="34"/>
      <c r="N54" s="34"/>
      <c r="O54" s="34"/>
      <c r="P54" s="34"/>
    </row>
  </sheetData>
  <sheetProtection sheet="1" objects="1" scenarios="1"/>
  <mergeCells count="96">
    <mergeCell ref="A4:D4"/>
    <mergeCell ref="I6:P7"/>
    <mergeCell ref="I8:P8"/>
    <mergeCell ref="I9:P9"/>
    <mergeCell ref="I10:L10"/>
    <mergeCell ref="N10:P10"/>
    <mergeCell ref="A24:L24"/>
    <mergeCell ref="M24:P24"/>
    <mergeCell ref="I11:L11"/>
    <mergeCell ref="N11:P11"/>
    <mergeCell ref="L12:N12"/>
    <mergeCell ref="A14:P14"/>
    <mergeCell ref="H16:J16"/>
    <mergeCell ref="A18:D18"/>
    <mergeCell ref="E18:P18"/>
    <mergeCell ref="E19:P19"/>
    <mergeCell ref="A20:D20"/>
    <mergeCell ref="E20:P20"/>
    <mergeCell ref="A22:D22"/>
    <mergeCell ref="E22:P22"/>
    <mergeCell ref="A25:L25"/>
    <mergeCell ref="M25:P25"/>
    <mergeCell ref="A26:L26"/>
    <mergeCell ref="M26:P26"/>
    <mergeCell ref="A27:L27"/>
    <mergeCell ref="M27:P27"/>
    <mergeCell ref="A28:L28"/>
    <mergeCell ref="M28:P28"/>
    <mergeCell ref="A29:L29"/>
    <mergeCell ref="M29:P29"/>
    <mergeCell ref="A30:L30"/>
    <mergeCell ref="M30:P30"/>
    <mergeCell ref="A31:L31"/>
    <mergeCell ref="M31:P31"/>
    <mergeCell ref="A33:G34"/>
    <mergeCell ref="H33:O35"/>
    <mergeCell ref="P33:P35"/>
    <mergeCell ref="A35:B35"/>
    <mergeCell ref="C35:D35"/>
    <mergeCell ref="E35:G35"/>
    <mergeCell ref="A36:B36"/>
    <mergeCell ref="C36:D36"/>
    <mergeCell ref="E36:G36"/>
    <mergeCell ref="H36:O36"/>
    <mergeCell ref="A37:B37"/>
    <mergeCell ref="C37:D37"/>
    <mergeCell ref="E37:G37"/>
    <mergeCell ref="H37:O37"/>
    <mergeCell ref="A38:B38"/>
    <mergeCell ref="C38:D38"/>
    <mergeCell ref="E38:G38"/>
    <mergeCell ref="H38:O38"/>
    <mergeCell ref="A39:B39"/>
    <mergeCell ref="C39:D39"/>
    <mergeCell ref="E39:G39"/>
    <mergeCell ref="H39:O39"/>
    <mergeCell ref="A40:B40"/>
    <mergeCell ref="C40:D40"/>
    <mergeCell ref="E40:G40"/>
    <mergeCell ref="H40:O40"/>
    <mergeCell ref="A41:B41"/>
    <mergeCell ref="C41:D41"/>
    <mergeCell ref="E41:G41"/>
    <mergeCell ref="H41:O41"/>
    <mergeCell ref="A42:B42"/>
    <mergeCell ref="C42:D42"/>
    <mergeCell ref="E42:G42"/>
    <mergeCell ref="H42:O42"/>
    <mergeCell ref="A43:B43"/>
    <mergeCell ref="C43:D43"/>
    <mergeCell ref="E43:G43"/>
    <mergeCell ref="H43:O43"/>
    <mergeCell ref="A44:B44"/>
    <mergeCell ref="C44:D44"/>
    <mergeCell ref="E44:G44"/>
    <mergeCell ref="H44:O44"/>
    <mergeCell ref="A45:B45"/>
    <mergeCell ref="C45:D45"/>
    <mergeCell ref="E45:G45"/>
    <mergeCell ref="H45:O45"/>
    <mergeCell ref="A46:B46"/>
    <mergeCell ref="C46:D46"/>
    <mergeCell ref="E46:G46"/>
    <mergeCell ref="H46:O46"/>
    <mergeCell ref="A49:C49"/>
    <mergeCell ref="D49:I49"/>
    <mergeCell ref="K49:P49"/>
    <mergeCell ref="D54:I54"/>
    <mergeCell ref="K54:P54"/>
    <mergeCell ref="D50:I50"/>
    <mergeCell ref="K50:P50"/>
    <mergeCell ref="A52:D52"/>
    <mergeCell ref="G52:H52"/>
    <mergeCell ref="A53:C53"/>
    <mergeCell ref="D53:I53"/>
    <mergeCell ref="K53:P53"/>
  </mergeCells>
  <phoneticPr fontId="14" type="noConversion"/>
  <pageMargins left="0.70866141732283472" right="0" top="0" bottom="0" header="0.31496062992125984" footer="0.31496062992125984"/>
  <pageSetup paperSize="9" scale="67" orientation="portrait" r:id="rId1"/>
  <colBreaks count="1" manualBreakCount="1">
    <brk id="16" max="1048575" man="1"/>
  </colBreak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B9D28B5-71A7-4705-A54C-D4ACED0C8C31}">
          <x14:formula1>
            <xm:f>Лист2!$D$1:$D$2</xm:f>
          </x14:formula1>
          <xm:sqref>E22:P22</xm:sqref>
        </x14:dataValidation>
        <x14:dataValidation type="list" allowBlank="1" showInputMessage="1" showErrorMessage="1" xr:uid="{32EDC37E-08A4-412A-9890-C728D6E5DD6A}">
          <x14:formula1>
            <xm:f>Лист2!$A$1:$A$12</xm:f>
          </x14:formula1>
          <xm:sqref>H16:J16</xm:sqref>
        </x14:dataValidation>
        <x14:dataValidation type="list" allowBlank="1" showInputMessage="1" showErrorMessage="1" xr:uid="{94856A10-528B-402F-8186-962B144F3F3F}">
          <x14:formula1>
            <xm:f>Лист2!$B$1:$B$6</xm:f>
          </x14:formula1>
          <xm:sqref>L16</xm:sqref>
        </x14:dataValidation>
        <x14:dataValidation type="list" allowBlank="1" showInputMessage="1" showErrorMessage="1" xr:uid="{470DEECC-A050-4FEE-817D-92EC54ABAE78}">
          <x14:formula1>
            <xm:f>Лист2!$C$1:$C$31</xm:f>
          </x14:formula1>
          <xm:sqref>F16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Лист2</vt:lpstr>
      <vt:lpstr>Инструкция</vt:lpstr>
      <vt:lpstr>Пример заполнения </vt:lpstr>
      <vt:lpstr>Отчет к заполнению</vt:lpstr>
      <vt:lpstr>'Отчет к заполнению'!Область_печати</vt:lpstr>
      <vt:lpstr>'Пример заполнения 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Шафранова Екатерина Юрьевна</dc:creator>
  <cp:lastModifiedBy>Пользователь</cp:lastModifiedBy>
  <cp:lastPrinted>2026-10-26T14:56:16Z</cp:lastPrinted>
  <dcterms:created xsi:type="dcterms:W3CDTF">2025-12-04T13:40:57Z</dcterms:created>
  <dcterms:modified xsi:type="dcterms:W3CDTF">2026-10-26T14:56:29Z</dcterms:modified>
</cp:coreProperties>
</file>